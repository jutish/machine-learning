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marcelloni\Desktop\"/>
    </mc:Choice>
  </mc:AlternateContent>
  <bookViews>
    <workbookView xWindow="0" yWindow="0" windowWidth="20490" windowHeight="7620" activeTab="2"/>
  </bookViews>
  <sheets>
    <sheet name="Hoja1" sheetId="1" r:id="rId1"/>
    <sheet name="Hoja2" sheetId="2" r:id="rId2"/>
    <sheet name="Hoja3" sheetId="3" r:id="rId3"/>
  </sheets>
  <functionGroups builtInGroupCount="18"/>
  <definedNames>
    <definedName name="lr">Hoja3!$B$1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9" i="3" l="1"/>
  <c r="V78" i="3"/>
  <c r="U73" i="3"/>
  <c r="U74" i="3"/>
  <c r="R68" i="3"/>
  <c r="O82" i="3" s="1"/>
  <c r="S68" i="3"/>
  <c r="P82" i="3" s="1"/>
  <c r="K68" i="3"/>
  <c r="F82" i="3" s="1"/>
  <c r="L68" i="3"/>
  <c r="G82" i="3" s="1"/>
  <c r="J68" i="3"/>
  <c r="E82" i="3" s="1"/>
  <c r="W68" i="3"/>
  <c r="W69" i="3" s="1"/>
  <c r="V83" i="3" s="1"/>
  <c r="S67" i="3"/>
  <c r="R67" i="3"/>
  <c r="K67" i="3"/>
  <c r="L67" i="3"/>
  <c r="J67" i="3"/>
  <c r="J51" i="3"/>
  <c r="K51" i="3"/>
  <c r="L51" i="3"/>
  <c r="J52" i="3"/>
  <c r="K52" i="3"/>
  <c r="L52" i="3"/>
  <c r="J53" i="3"/>
  <c r="K53" i="3"/>
  <c r="L53" i="3"/>
  <c r="J54" i="3"/>
  <c r="K54" i="3"/>
  <c r="L54" i="3"/>
  <c r="J55" i="3"/>
  <c r="K55" i="3"/>
  <c r="L55" i="3"/>
  <c r="J56" i="3"/>
  <c r="K56" i="3"/>
  <c r="L56" i="3"/>
  <c r="J57" i="3"/>
  <c r="K57" i="3"/>
  <c r="L57" i="3"/>
  <c r="J58" i="3"/>
  <c r="K58" i="3"/>
  <c r="L58" i="3"/>
  <c r="J59" i="3"/>
  <c r="K59" i="3"/>
  <c r="L59" i="3"/>
  <c r="J60" i="3"/>
  <c r="K60" i="3"/>
  <c r="L60" i="3"/>
  <c r="J61" i="3"/>
  <c r="K61" i="3"/>
  <c r="L61" i="3"/>
  <c r="J62" i="3"/>
  <c r="K62" i="3"/>
  <c r="L62" i="3"/>
  <c r="J63" i="3"/>
  <c r="K63" i="3"/>
  <c r="L63" i="3"/>
  <c r="J64" i="3"/>
  <c r="K64" i="3"/>
  <c r="L64" i="3"/>
  <c r="J65" i="3"/>
  <c r="K65" i="3"/>
  <c r="L65" i="3"/>
  <c r="L50" i="3"/>
  <c r="K50" i="3"/>
  <c r="J50" i="3"/>
  <c r="D51" i="3"/>
  <c r="E51" i="3"/>
  <c r="F51" i="3"/>
  <c r="D52" i="3"/>
  <c r="E52" i="3"/>
  <c r="F52" i="3"/>
  <c r="D53" i="3"/>
  <c r="E53" i="3"/>
  <c r="F53" i="3"/>
  <c r="D54" i="3"/>
  <c r="E54" i="3"/>
  <c r="F54" i="3"/>
  <c r="D55" i="3"/>
  <c r="E55" i="3"/>
  <c r="F55" i="3"/>
  <c r="D56" i="3"/>
  <c r="E56" i="3"/>
  <c r="F56" i="3"/>
  <c r="D57" i="3"/>
  <c r="E57" i="3"/>
  <c r="F57" i="3"/>
  <c r="D58" i="3"/>
  <c r="E58" i="3"/>
  <c r="F58" i="3"/>
  <c r="D59" i="3"/>
  <c r="E59" i="3"/>
  <c r="F59" i="3"/>
  <c r="D60" i="3"/>
  <c r="E60" i="3"/>
  <c r="F60" i="3"/>
  <c r="D61" i="3"/>
  <c r="E61" i="3"/>
  <c r="F61" i="3"/>
  <c r="D62" i="3"/>
  <c r="E62" i="3"/>
  <c r="F62" i="3"/>
  <c r="D63" i="3"/>
  <c r="E63" i="3"/>
  <c r="F63" i="3"/>
  <c r="D64" i="3"/>
  <c r="E64" i="3"/>
  <c r="F64" i="3"/>
  <c r="D65" i="3"/>
  <c r="E65" i="3"/>
  <c r="F65" i="3"/>
  <c r="F50" i="3"/>
  <c r="E50" i="3"/>
  <c r="D50" i="3"/>
  <c r="R51" i="3"/>
  <c r="S51" i="3"/>
  <c r="R52" i="3"/>
  <c r="S52" i="3"/>
  <c r="R53" i="3"/>
  <c r="S53" i="3"/>
  <c r="R54" i="3"/>
  <c r="S54" i="3"/>
  <c r="R55" i="3"/>
  <c r="S55" i="3"/>
  <c r="R56" i="3"/>
  <c r="S56" i="3"/>
  <c r="R57" i="3"/>
  <c r="S57" i="3"/>
  <c r="R58" i="3"/>
  <c r="S58" i="3"/>
  <c r="R59" i="3"/>
  <c r="S59" i="3"/>
  <c r="R60" i="3"/>
  <c r="S60" i="3"/>
  <c r="R61" i="3"/>
  <c r="S61" i="3"/>
  <c r="R62" i="3"/>
  <c r="S62" i="3"/>
  <c r="R63" i="3"/>
  <c r="S63" i="3"/>
  <c r="R64" i="3"/>
  <c r="S64" i="3"/>
  <c r="R65" i="3"/>
  <c r="S65" i="3"/>
  <c r="S50" i="3"/>
  <c r="R50" i="3"/>
  <c r="G51" i="3"/>
  <c r="H52" i="3"/>
  <c r="I53" i="3"/>
  <c r="G55" i="3"/>
  <c r="H56" i="3"/>
  <c r="I57" i="3"/>
  <c r="G59" i="3"/>
  <c r="H60" i="3"/>
  <c r="I61" i="3"/>
  <c r="G63" i="3"/>
  <c r="H64" i="3"/>
  <c r="I65" i="3"/>
  <c r="H53" i="3"/>
  <c r="H57" i="3"/>
  <c r="H61" i="3"/>
  <c r="H65" i="3"/>
  <c r="H51" i="3"/>
  <c r="I52" i="3"/>
  <c r="G54" i="3"/>
  <c r="H55" i="3"/>
  <c r="I56" i="3"/>
  <c r="G58" i="3"/>
  <c r="H59" i="3"/>
  <c r="I60" i="3"/>
  <c r="G62" i="3"/>
  <c r="H63" i="3"/>
  <c r="I64" i="3"/>
  <c r="I54" i="3"/>
  <c r="I58" i="3"/>
  <c r="I62" i="3"/>
  <c r="I51" i="3"/>
  <c r="G53" i="3"/>
  <c r="H54" i="3"/>
  <c r="I55" i="3"/>
  <c r="G57" i="3"/>
  <c r="H58" i="3"/>
  <c r="I59" i="3"/>
  <c r="G61" i="3"/>
  <c r="H62" i="3"/>
  <c r="I63" i="3"/>
  <c r="G65" i="3"/>
  <c r="G52" i="3"/>
  <c r="G56" i="3"/>
  <c r="G60" i="3"/>
  <c r="G64" i="3"/>
  <c r="H50" i="3"/>
  <c r="I50" i="3"/>
  <c r="G50" i="3"/>
  <c r="D13" i="3" l="1"/>
  <c r="E13" i="3"/>
  <c r="F13" i="3"/>
  <c r="D14" i="3"/>
  <c r="E14" i="3"/>
  <c r="F14" i="3"/>
  <c r="D15" i="3"/>
  <c r="E15" i="3"/>
  <c r="F15" i="3"/>
  <c r="D16" i="3"/>
  <c r="E16" i="3"/>
  <c r="F16" i="3"/>
  <c r="O16" i="3" s="1"/>
  <c r="D17" i="3"/>
  <c r="E17" i="3"/>
  <c r="F17" i="3"/>
  <c r="D18" i="3"/>
  <c r="E18" i="3"/>
  <c r="F18" i="3"/>
  <c r="D19" i="3"/>
  <c r="E19" i="3"/>
  <c r="F19" i="3"/>
  <c r="D20" i="3"/>
  <c r="E20" i="3"/>
  <c r="F20" i="3"/>
  <c r="N20" i="3" s="1"/>
  <c r="D21" i="3"/>
  <c r="E21" i="3"/>
  <c r="F21" i="3"/>
  <c r="D22" i="3"/>
  <c r="E22" i="3"/>
  <c r="F22" i="3"/>
  <c r="D23" i="3"/>
  <c r="O23" i="3" s="1"/>
  <c r="E23" i="3"/>
  <c r="F23" i="3"/>
  <c r="D24" i="3"/>
  <c r="E24" i="3"/>
  <c r="F24" i="3"/>
  <c r="D25" i="3"/>
  <c r="E25" i="3"/>
  <c r="F25" i="3"/>
  <c r="D26" i="3"/>
  <c r="E26" i="3"/>
  <c r="F26" i="3"/>
  <c r="D27" i="3"/>
  <c r="E27" i="3"/>
  <c r="F27" i="3"/>
  <c r="D12" i="3"/>
  <c r="F12" i="3"/>
  <c r="E12" i="3"/>
  <c r="P51" i="3"/>
  <c r="P53" i="3"/>
  <c r="P55" i="3"/>
  <c r="P57" i="3"/>
  <c r="P59" i="3"/>
  <c r="P61" i="3"/>
  <c r="P63" i="3"/>
  <c r="P65" i="3"/>
  <c r="Q51" i="3"/>
  <c r="Q53" i="3"/>
  <c r="Q55" i="3"/>
  <c r="Q57" i="3"/>
  <c r="Q59" i="3"/>
  <c r="Q61" i="3"/>
  <c r="Q63" i="3"/>
  <c r="Q65" i="3"/>
  <c r="Q64" i="3"/>
  <c r="P52" i="3"/>
  <c r="P54" i="3"/>
  <c r="P56" i="3"/>
  <c r="P58" i="3"/>
  <c r="P60" i="3"/>
  <c r="P62" i="3"/>
  <c r="P64" i="3"/>
  <c r="Q52" i="3"/>
  <c r="Q54" i="3"/>
  <c r="Q56" i="3"/>
  <c r="Q58" i="3"/>
  <c r="Q60" i="3"/>
  <c r="Q62" i="3"/>
  <c r="Q50" i="3"/>
  <c r="P50" i="3"/>
  <c r="D32" i="3"/>
  <c r="E33" i="3"/>
  <c r="F34" i="3"/>
  <c r="D36" i="3"/>
  <c r="E37" i="3"/>
  <c r="F38" i="3"/>
  <c r="D40" i="3"/>
  <c r="E41" i="3"/>
  <c r="F42" i="3"/>
  <c r="D44" i="3"/>
  <c r="E45" i="3"/>
  <c r="F46" i="3"/>
  <c r="E32" i="3"/>
  <c r="D35" i="3"/>
  <c r="E36" i="3"/>
  <c r="F37" i="3"/>
  <c r="D39" i="3"/>
  <c r="F41" i="3"/>
  <c r="D43" i="3"/>
  <c r="E44" i="3"/>
  <c r="D31" i="3"/>
  <c r="D34" i="3"/>
  <c r="E35" i="3"/>
  <c r="D38" i="3"/>
  <c r="E39" i="3"/>
  <c r="D42" i="3"/>
  <c r="E43" i="3"/>
  <c r="D46" i="3"/>
  <c r="F31" i="3"/>
  <c r="E34" i="3"/>
  <c r="F35" i="3"/>
  <c r="E38" i="3"/>
  <c r="F39" i="3"/>
  <c r="E42" i="3"/>
  <c r="F43" i="3"/>
  <c r="E46" i="3"/>
  <c r="F33" i="3"/>
  <c r="E40" i="3"/>
  <c r="F45" i="3"/>
  <c r="F32" i="3"/>
  <c r="F36" i="3"/>
  <c r="F40" i="3"/>
  <c r="F44" i="3"/>
  <c r="D33" i="3"/>
  <c r="D37" i="3"/>
  <c r="D41" i="3"/>
  <c r="D45" i="3"/>
  <c r="E31" i="3"/>
  <c r="O42" i="3"/>
  <c r="O35" i="3"/>
  <c r="N39" i="3"/>
  <c r="O12" i="3" l="1"/>
  <c r="N23" i="3"/>
  <c r="O18" i="3"/>
  <c r="N12" i="3"/>
  <c r="N24" i="3"/>
  <c r="N16" i="3"/>
  <c r="O24" i="3"/>
  <c r="O20" i="3"/>
  <c r="N27" i="3"/>
  <c r="N19" i="3"/>
  <c r="N15" i="3"/>
  <c r="O27" i="3"/>
  <c r="O19" i="3"/>
  <c r="O15" i="3"/>
  <c r="N26" i="3"/>
  <c r="N22" i="3"/>
  <c r="N18" i="3"/>
  <c r="N14" i="3"/>
  <c r="O26" i="3"/>
  <c r="O22" i="3"/>
  <c r="O14" i="3"/>
  <c r="N25" i="3"/>
  <c r="N21" i="3"/>
  <c r="N17" i="3"/>
  <c r="N13" i="3"/>
  <c r="O25" i="3"/>
  <c r="O21" i="3"/>
  <c r="O17" i="3"/>
  <c r="O13" i="3"/>
  <c r="U26" i="3"/>
  <c r="U22" i="3"/>
  <c r="U14" i="3"/>
  <c r="U24" i="3"/>
  <c r="U20" i="3"/>
  <c r="U23" i="3"/>
  <c r="U19" i="3"/>
  <c r="U25" i="3"/>
  <c r="U13" i="3"/>
  <c r="O31" i="3"/>
  <c r="N43" i="3"/>
  <c r="N46" i="3"/>
  <c r="O38" i="3"/>
  <c r="N37" i="3"/>
  <c r="O33" i="3"/>
  <c r="N32" i="3"/>
  <c r="O32" i="3"/>
  <c r="N42" i="3"/>
  <c r="N35" i="3"/>
  <c r="N38" i="3"/>
  <c r="O34" i="3"/>
  <c r="N33" i="3"/>
  <c r="N44" i="3"/>
  <c r="O44" i="3"/>
  <c r="O37" i="3"/>
  <c r="O43" i="3"/>
  <c r="N34" i="3"/>
  <c r="N45" i="3"/>
  <c r="O45" i="3"/>
  <c r="N40" i="3"/>
  <c r="O40" i="3"/>
  <c r="N31" i="3"/>
  <c r="O39" i="3"/>
  <c r="O46" i="3"/>
  <c r="N41" i="3"/>
  <c r="O41" i="3"/>
  <c r="N36" i="3"/>
  <c r="O36" i="3"/>
  <c r="V52" i="3"/>
  <c r="U33" i="3"/>
  <c r="V61" i="3"/>
  <c r="U42" i="3"/>
  <c r="V64" i="3"/>
  <c r="U45" i="3"/>
  <c r="V62" i="3"/>
  <c r="U43" i="3"/>
  <c r="V57" i="3"/>
  <c r="U38" i="3"/>
  <c r="V51" i="3"/>
  <c r="U32" i="3"/>
  <c r="V60" i="3"/>
  <c r="U41" i="3"/>
  <c r="V58" i="3"/>
  <c r="U39" i="3"/>
  <c r="V63" i="3"/>
  <c r="U44" i="3"/>
  <c r="U15" i="3" l="1"/>
  <c r="U17" i="3"/>
  <c r="U12" i="3"/>
  <c r="U16" i="3"/>
  <c r="U21" i="3"/>
  <c r="U27" i="3"/>
  <c r="U18" i="3"/>
  <c r="U63" i="3"/>
  <c r="W63" i="3" s="1"/>
  <c r="U58" i="3"/>
  <c r="W58" i="3" s="1"/>
  <c r="U60" i="3"/>
  <c r="W60" i="3" s="1"/>
  <c r="N60" i="3" s="1"/>
  <c r="U51" i="3"/>
  <c r="W51" i="3" s="1"/>
  <c r="N51" i="3" s="1"/>
  <c r="U57" i="3"/>
  <c r="W57" i="3" s="1"/>
  <c r="U62" i="3"/>
  <c r="W62" i="3" s="1"/>
  <c r="U64" i="3"/>
  <c r="W64" i="3" s="1"/>
  <c r="U61" i="3"/>
  <c r="W61" i="3" s="1"/>
  <c r="U52" i="3"/>
  <c r="W52" i="3" s="1"/>
  <c r="N52" i="3" s="1"/>
  <c r="O51" i="3"/>
  <c r="V53" i="3"/>
  <c r="U34" i="3"/>
  <c r="U40" i="3"/>
  <c r="V59" i="3"/>
  <c r="U31" i="3"/>
  <c r="V50" i="3"/>
  <c r="V54" i="3"/>
  <c r="U35" i="3"/>
  <c r="U36" i="3"/>
  <c r="V55" i="3"/>
  <c r="U46" i="3"/>
  <c r="V65" i="3"/>
  <c r="U37" i="3"/>
  <c r="V56" i="3"/>
  <c r="U56" i="3" l="1"/>
  <c r="W56" i="3" s="1"/>
  <c r="U65" i="3"/>
  <c r="W65" i="3" s="1"/>
  <c r="U55" i="3"/>
  <c r="W55" i="3" s="1"/>
  <c r="N55" i="3" s="1"/>
  <c r="U54" i="3"/>
  <c r="W54" i="3" s="1"/>
  <c r="U50" i="3"/>
  <c r="W50" i="3" s="1"/>
  <c r="U59" i="3"/>
  <c r="W59" i="3" s="1"/>
  <c r="U53" i="3"/>
  <c r="W53" i="3" s="1"/>
  <c r="O52" i="3"/>
  <c r="N61" i="3"/>
  <c r="O61" i="3"/>
  <c r="N62" i="3"/>
  <c r="O62" i="3"/>
  <c r="O57" i="3"/>
  <c r="N57" i="3"/>
  <c r="N58" i="3"/>
  <c r="O58" i="3"/>
  <c r="O50" i="3"/>
  <c r="N50" i="3"/>
  <c r="O63" i="3"/>
  <c r="N63" i="3"/>
  <c r="O60" i="3"/>
  <c r="O64" i="3"/>
  <c r="N64" i="3"/>
  <c r="N65" i="3"/>
  <c r="O65" i="3"/>
  <c r="O59" i="3"/>
  <c r="N59" i="3"/>
  <c r="O54" i="3" l="1"/>
  <c r="N54" i="3"/>
  <c r="N53" i="3"/>
  <c r="O53" i="3"/>
  <c r="O55" i="3"/>
  <c r="N56" i="3"/>
  <c r="O56" i="3"/>
</calcChain>
</file>

<file path=xl/comments1.xml><?xml version="1.0" encoding="utf-8"?>
<comments xmlns="http://schemas.openxmlformats.org/spreadsheetml/2006/main">
  <authors>
    <author>Marcelloni Esteban Eduardo</author>
  </authors>
  <commentList>
    <comment ref="H10" authorId="0" shapeId="0">
      <text>
        <r>
          <rPr>
            <b/>
            <sz val="9"/>
            <color indexed="81"/>
            <rFont val="Tahoma"/>
            <charset val="1"/>
          </rPr>
          <t>Marcelloni Esteban Eduardo:</t>
        </r>
        <r>
          <rPr>
            <sz val="9"/>
            <color indexed="81"/>
            <rFont val="Tahoma"/>
            <charset val="1"/>
          </rPr>
          <t xml:space="preserve">
Error asignado a la unica neurona de la salida</t>
        </r>
      </text>
    </comment>
  </commentList>
</comments>
</file>

<file path=xl/sharedStrings.xml><?xml version="1.0" encoding="utf-8"?>
<sst xmlns="http://schemas.openxmlformats.org/spreadsheetml/2006/main" count="187" uniqueCount="85">
  <si>
    <t>X1</t>
  </si>
  <si>
    <t>X2</t>
  </si>
  <si>
    <t>Y</t>
  </si>
  <si>
    <t>Data</t>
  </si>
  <si>
    <t xml:space="preserve">Topology </t>
  </si>
  <si>
    <t>[2, 3, 1]</t>
  </si>
  <si>
    <t>out</t>
  </si>
  <si>
    <t>None</t>
  </si>
  <si>
    <t>NeuralNet</t>
  </si>
  <si>
    <t>W(2x3)</t>
  </si>
  <si>
    <t>b(1x3)</t>
  </si>
  <si>
    <t>b(1x1)</t>
  </si>
  <si>
    <t>Capa 0</t>
  </si>
  <si>
    <t>Capa 1</t>
  </si>
  <si>
    <t>X(16x2)</t>
  </si>
  <si>
    <t>z0(16x3)</t>
  </si>
  <si>
    <t>a0(16x3)</t>
  </si>
  <si>
    <t>deltas</t>
  </si>
  <si>
    <t>Paso</t>
  </si>
  <si>
    <t>l</t>
  </si>
  <si>
    <t>l+1</t>
  </si>
  <si>
    <t>z = out[l+1][0]</t>
  </si>
  <si>
    <t>a = out[l+1][1]</t>
  </si>
  <si>
    <t>delta</t>
  </si>
  <si>
    <t>l2Cost[1](a, Y)</t>
  </si>
  <si>
    <t>(16x1)</t>
  </si>
  <si>
    <t>neuralNet[l].actFunction[1](z)</t>
  </si>
  <si>
    <t>Termino 1</t>
  </si>
  <si>
    <t>Termino 2</t>
  </si>
  <si>
    <t>Topology</t>
  </si>
  <si>
    <r>
      <t>[2,</t>
    </r>
    <r>
      <rPr>
        <b/>
        <sz val="11"/>
        <color theme="1"/>
        <rFont val="Calibri"/>
        <family val="2"/>
        <scheme val="minor"/>
      </rPr>
      <t>3,2,1]</t>
    </r>
  </si>
  <si>
    <t>Capa 2</t>
  </si>
  <si>
    <t>W(3x2)</t>
  </si>
  <si>
    <t>b(1x2)</t>
  </si>
  <si>
    <t>W(2x1)</t>
  </si>
  <si>
    <t>z1(16x2)</t>
  </si>
  <si>
    <t>a1(16x2)</t>
  </si>
  <si>
    <t>z2(16x1)</t>
  </si>
  <si>
    <t>a2(16x1)</t>
  </si>
  <si>
    <t>Foward</t>
  </si>
  <si>
    <t>fila/columna</t>
  </si>
  <si>
    <t>Termino 1 * Termino 2</t>
  </si>
  <si>
    <t>_W</t>
  </si>
  <si>
    <t>(2x1)</t>
  </si>
  <si>
    <t>(16x2)</t>
  </si>
  <si>
    <t>deltas[0]</t>
  </si>
  <si>
    <t>Termino 3</t>
  </si>
  <si>
    <t>deltas[0] @ _W.T  * neuralNet[l].actFunction[1](z)</t>
  </si>
  <si>
    <t>(3x2)</t>
  </si>
  <si>
    <t>(16x3)</t>
  </si>
  <si>
    <t>Neurona 1</t>
  </si>
  <si>
    <t>Neurona 2</t>
  </si>
  <si>
    <t>Neurona 3</t>
  </si>
  <si>
    <t>Entrada 1</t>
  </si>
  <si>
    <t>Entrada 2</t>
  </si>
  <si>
    <t>Entrada 3</t>
  </si>
  <si>
    <t>Capa 0.W (2x3)</t>
  </si>
  <si>
    <t>Capa 0.b (1x3)</t>
  </si>
  <si>
    <t>Capa 1.b (1x2)</t>
  </si>
  <si>
    <t>Capa 1.W (3x2)</t>
  </si>
  <si>
    <t>Capa 2.W (2x1)</t>
  </si>
  <si>
    <t>Capa 1.b (1x1)</t>
  </si>
  <si>
    <t>Dataset (16x2)</t>
  </si>
  <si>
    <t>Capa 0.z (16x3)</t>
  </si>
  <si>
    <t>Capa 1.z (16x2)</t>
  </si>
  <si>
    <t>Capa2.z(16x1)</t>
  </si>
  <si>
    <t>Neurona</t>
  </si>
  <si>
    <t>Delta</t>
  </si>
  <si>
    <t>lr</t>
  </si>
  <si>
    <t>Capa 0.a (16x3)</t>
  </si>
  <si>
    <t>Capa 1.a (16x2)</t>
  </si>
  <si>
    <t>Capa2.a(16x1)</t>
  </si>
  <si>
    <t>Yp - Y</t>
  </si>
  <si>
    <t>DEV_SIGM(z)</t>
  </si>
  <si>
    <t>Delta ultima capa (16x1)</t>
  </si>
  <si>
    <t>deltas[0] (16x1) @ _W.T(1x2)</t>
  </si>
  <si>
    <t xml:space="preserve">Neurona 1 </t>
  </si>
  <si>
    <t>Delta Capa 1 (16x2)</t>
  </si>
  <si>
    <t>deltas[Capa1] (16x2) @ _W.T(2x3) = 16x3</t>
  </si>
  <si>
    <t>Delta Capa 0</t>
  </si>
  <si>
    <t>np.mean(…)</t>
  </si>
  <si>
    <t>mean * lr</t>
  </si>
  <si>
    <t>Gradiente ultimaCapa.b</t>
  </si>
  <si>
    <t>Gradiente ultima capa.W</t>
  </si>
  <si>
    <t>salida capa anterior.T 2x16 @ deltas[0] 16x1 * lr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</si>
</sst>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2" borderId="0" xfId="0" applyFont="1" applyFill="1"/>
    <xf numFmtId="0" fontId="0" fillId="3" borderId="0" xfId="0" applyFont="1" applyFill="1"/>
    <xf numFmtId="0" fontId="0" fillId="5" borderId="0" xfId="0" applyFont="1" applyFill="1"/>
    <xf numFmtId="0" fontId="1" fillId="3" borderId="0" xfId="0" applyFont="1" applyFill="1"/>
    <xf numFmtId="0" fontId="0" fillId="0" borderId="0" xfId="0" applyAlignme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2" fontId="0" fillId="0" borderId="2" xfId="0" applyNumberFormat="1" applyBorder="1"/>
    <xf numFmtId="2" fontId="0" fillId="0" borderId="0" xfId="0" applyNumberFormat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0" xfId="0" applyNumberFormat="1"/>
    <xf numFmtId="0" fontId="1" fillId="0" borderId="0" xfId="0" applyFont="1"/>
    <xf numFmtId="0" fontId="0" fillId="0" borderId="6" xfId="0" applyBorder="1"/>
    <xf numFmtId="0" fontId="0" fillId="0" borderId="8" xfId="0" applyBorder="1"/>
    <xf numFmtId="0" fontId="0" fillId="0" borderId="0" xfId="0" applyBorder="1" applyAlignment="1">
      <alignment horizontal="center"/>
    </xf>
    <xf numFmtId="0" fontId="1" fillId="0" borderId="6" xfId="0" applyFont="1" applyBorder="1"/>
    <xf numFmtId="0" fontId="1" fillId="0" borderId="8" xfId="0" applyFont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0" fillId="0" borderId="9" xfId="0" applyBorder="1"/>
    <xf numFmtId="0" fontId="0" fillId="0" borderId="13" xfId="0" applyBorder="1"/>
    <xf numFmtId="0" fontId="1" fillId="0" borderId="7" xfId="0" applyFont="1" applyBorder="1"/>
    <xf numFmtId="0" fontId="1" fillId="0" borderId="9" xfId="0" applyFon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X2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Hoja1!$A$3:$A$18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</c:numCache>
            </c:numRef>
          </c:xVal>
          <c:yVal>
            <c:numRef>
              <c:f>Hoja1!$B$3:$B$18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0-49AC-8814-03E2F8F5A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128360"/>
        <c:axId val="648128688"/>
      </c:scatterChart>
      <c:valAx>
        <c:axId val="648128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48128688"/>
        <c:crosses val="autoZero"/>
        <c:crossBetween val="midCat"/>
      </c:valAx>
      <c:valAx>
        <c:axId val="64812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48128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21</xdr:row>
      <xdr:rowOff>9525</xdr:rowOff>
    </xdr:from>
    <xdr:to>
      <xdr:col>6</xdr:col>
      <xdr:colOff>9525</xdr:colOff>
      <xdr:row>35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20"/>
  <sheetViews>
    <sheetView workbookViewId="0">
      <selection activeCell="C2" sqref="C2:C18"/>
    </sheetView>
  </sheetViews>
  <sheetFormatPr baseColWidth="10" defaultRowHeight="15" x14ac:dyDescent="0.25"/>
  <sheetData>
    <row r="1" spans="1:3" x14ac:dyDescent="0.25">
      <c r="A1" s="20" t="s">
        <v>3</v>
      </c>
      <c r="B1" s="20"/>
      <c r="C1" s="20"/>
    </row>
    <row r="2" spans="1:3" x14ac:dyDescent="0.25">
      <c r="A2" t="s">
        <v>0</v>
      </c>
      <c r="B2" t="s">
        <v>1</v>
      </c>
      <c r="C2" t="s">
        <v>2</v>
      </c>
    </row>
    <row r="3" spans="1:3" x14ac:dyDescent="0.25">
      <c r="A3">
        <v>1</v>
      </c>
      <c r="B3">
        <v>1</v>
      </c>
      <c r="C3">
        <v>0</v>
      </c>
    </row>
    <row r="4" spans="1:3" x14ac:dyDescent="0.25">
      <c r="A4">
        <v>1</v>
      </c>
      <c r="B4">
        <v>2</v>
      </c>
      <c r="C4">
        <v>0</v>
      </c>
    </row>
    <row r="5" spans="1:3" x14ac:dyDescent="0.25">
      <c r="A5">
        <v>1</v>
      </c>
      <c r="B5">
        <v>3</v>
      </c>
      <c r="C5">
        <v>0</v>
      </c>
    </row>
    <row r="6" spans="1:3" x14ac:dyDescent="0.25">
      <c r="A6">
        <v>1</v>
      </c>
      <c r="B6">
        <v>4</v>
      </c>
      <c r="C6">
        <v>0</v>
      </c>
    </row>
    <row r="7" spans="1:3" x14ac:dyDescent="0.25">
      <c r="A7">
        <v>2</v>
      </c>
      <c r="B7">
        <v>1</v>
      </c>
      <c r="C7">
        <v>0</v>
      </c>
    </row>
    <row r="8" spans="1:3" x14ac:dyDescent="0.25">
      <c r="A8">
        <v>2</v>
      </c>
      <c r="B8">
        <v>2</v>
      </c>
      <c r="C8">
        <v>0</v>
      </c>
    </row>
    <row r="9" spans="1:3" x14ac:dyDescent="0.25">
      <c r="A9">
        <v>2</v>
      </c>
      <c r="B9">
        <v>3</v>
      </c>
      <c r="C9">
        <v>0</v>
      </c>
    </row>
    <row r="10" spans="1:3" x14ac:dyDescent="0.25">
      <c r="A10">
        <v>2</v>
      </c>
      <c r="B10">
        <v>4</v>
      </c>
      <c r="C10">
        <v>0</v>
      </c>
    </row>
    <row r="11" spans="1:3" x14ac:dyDescent="0.25">
      <c r="A11">
        <v>4</v>
      </c>
      <c r="B11">
        <v>1</v>
      </c>
      <c r="C11">
        <v>1</v>
      </c>
    </row>
    <row r="12" spans="1:3" x14ac:dyDescent="0.25">
      <c r="A12">
        <v>4</v>
      </c>
      <c r="B12">
        <v>2</v>
      </c>
      <c r="C12">
        <v>1</v>
      </c>
    </row>
    <row r="13" spans="1:3" x14ac:dyDescent="0.25">
      <c r="A13">
        <v>4</v>
      </c>
      <c r="B13">
        <v>3</v>
      </c>
      <c r="C13">
        <v>1</v>
      </c>
    </row>
    <row r="14" spans="1:3" x14ac:dyDescent="0.25">
      <c r="A14">
        <v>4</v>
      </c>
      <c r="B14">
        <v>4</v>
      </c>
      <c r="C14">
        <v>1</v>
      </c>
    </row>
    <row r="15" spans="1:3" x14ac:dyDescent="0.25">
      <c r="A15">
        <v>5</v>
      </c>
      <c r="B15">
        <v>1</v>
      </c>
      <c r="C15">
        <v>1</v>
      </c>
    </row>
    <row r="16" spans="1:3" x14ac:dyDescent="0.25">
      <c r="A16">
        <v>5</v>
      </c>
      <c r="B16">
        <v>2</v>
      </c>
      <c r="C16">
        <v>1</v>
      </c>
    </row>
    <row r="17" spans="1:3" x14ac:dyDescent="0.25">
      <c r="A17">
        <v>5</v>
      </c>
      <c r="B17">
        <v>3</v>
      </c>
      <c r="C17">
        <v>1</v>
      </c>
    </row>
    <row r="18" spans="1:3" x14ac:dyDescent="0.25">
      <c r="A18">
        <v>5</v>
      </c>
      <c r="B18">
        <v>4</v>
      </c>
      <c r="C18">
        <v>1</v>
      </c>
    </row>
    <row r="20" spans="1:3" x14ac:dyDescent="0.25">
      <c r="A20" t="s">
        <v>4</v>
      </c>
      <c r="B20" t="s">
        <v>5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18"/>
  <sheetViews>
    <sheetView topLeftCell="B1" workbookViewId="0">
      <selection activeCell="H18" sqref="H18"/>
    </sheetView>
  </sheetViews>
  <sheetFormatPr baseColWidth="10" defaultRowHeight="15" x14ac:dyDescent="0.25"/>
  <cols>
    <col min="3" max="3" width="13.140625" bestFit="1" customWidth="1"/>
    <col min="4" max="5" width="13.28515625" bestFit="1" customWidth="1"/>
    <col min="6" max="6" width="28" bestFit="1" customWidth="1"/>
    <col min="7" max="7" width="33.28515625" customWidth="1"/>
    <col min="8" max="8" width="28.85546875" customWidth="1"/>
    <col min="9" max="9" width="46.42578125" customWidth="1"/>
  </cols>
  <sheetData>
    <row r="1" spans="1:9" x14ac:dyDescent="0.25">
      <c r="B1" s="21" t="s">
        <v>39</v>
      </c>
      <c r="C1" s="21"/>
      <c r="D1" s="21"/>
      <c r="F1" t="s">
        <v>29</v>
      </c>
      <c r="G1" t="s">
        <v>30</v>
      </c>
    </row>
    <row r="2" spans="1:9" x14ac:dyDescent="0.25">
      <c r="B2" s="1" t="s">
        <v>40</v>
      </c>
      <c r="C2" s="1">
        <v>0</v>
      </c>
      <c r="D2" s="1">
        <v>1</v>
      </c>
      <c r="G2" s="1" t="s">
        <v>12</v>
      </c>
      <c r="H2" s="1" t="s">
        <v>13</v>
      </c>
      <c r="I2" s="1" t="s">
        <v>31</v>
      </c>
    </row>
    <row r="3" spans="1:9" x14ac:dyDescent="0.25">
      <c r="A3" s="1" t="s">
        <v>6</v>
      </c>
      <c r="B3" s="1">
        <v>0</v>
      </c>
      <c r="C3" t="s">
        <v>7</v>
      </c>
      <c r="D3" t="s">
        <v>14</v>
      </c>
      <c r="F3" s="1" t="s">
        <v>8</v>
      </c>
      <c r="G3" t="s">
        <v>9</v>
      </c>
      <c r="H3" t="s">
        <v>32</v>
      </c>
      <c r="I3" t="s">
        <v>34</v>
      </c>
    </row>
    <row r="4" spans="1:9" x14ac:dyDescent="0.25">
      <c r="B4" s="1">
        <v>1</v>
      </c>
      <c r="C4" t="s">
        <v>15</v>
      </c>
      <c r="D4" t="s">
        <v>16</v>
      </c>
      <c r="F4" s="1"/>
      <c r="G4" t="s">
        <v>10</v>
      </c>
      <c r="H4" t="s">
        <v>33</v>
      </c>
      <c r="I4" t="s">
        <v>11</v>
      </c>
    </row>
    <row r="5" spans="1:9" x14ac:dyDescent="0.25">
      <c r="B5" s="1">
        <v>2</v>
      </c>
      <c r="C5" t="s">
        <v>35</v>
      </c>
      <c r="D5" t="s">
        <v>36</v>
      </c>
    </row>
    <row r="6" spans="1:9" x14ac:dyDescent="0.25">
      <c r="B6" s="1">
        <v>3</v>
      </c>
      <c r="C6" t="s">
        <v>37</v>
      </c>
      <c r="D6" t="s">
        <v>38</v>
      </c>
    </row>
    <row r="8" spans="1:9" x14ac:dyDescent="0.25">
      <c r="F8" s="2" t="s">
        <v>27</v>
      </c>
      <c r="G8" s="2" t="s">
        <v>28</v>
      </c>
      <c r="H8" s="2" t="s">
        <v>41</v>
      </c>
    </row>
    <row r="9" spans="1:9" x14ac:dyDescent="0.25">
      <c r="A9" s="1" t="s">
        <v>18</v>
      </c>
      <c r="B9" s="4" t="s">
        <v>19</v>
      </c>
      <c r="C9" s="4" t="s">
        <v>20</v>
      </c>
      <c r="D9" s="4" t="s">
        <v>21</v>
      </c>
      <c r="E9" s="4" t="s">
        <v>22</v>
      </c>
      <c r="F9" s="5" t="s">
        <v>24</v>
      </c>
      <c r="G9" s="5" t="s">
        <v>26</v>
      </c>
      <c r="H9" s="7" t="s">
        <v>23</v>
      </c>
      <c r="I9" s="6" t="s">
        <v>42</v>
      </c>
    </row>
    <row r="10" spans="1:9" x14ac:dyDescent="0.25">
      <c r="A10" s="1">
        <v>1</v>
      </c>
      <c r="B10">
        <v>2</v>
      </c>
      <c r="C10">
        <v>3</v>
      </c>
      <c r="D10" t="s">
        <v>37</v>
      </c>
      <c r="E10" t="s">
        <v>38</v>
      </c>
      <c r="F10" t="s">
        <v>25</v>
      </c>
      <c r="G10" t="s">
        <v>25</v>
      </c>
      <c r="H10" t="s">
        <v>25</v>
      </c>
      <c r="I10" t="s">
        <v>43</v>
      </c>
    </row>
    <row r="11" spans="1:9" x14ac:dyDescent="0.25">
      <c r="F11" s="2" t="s">
        <v>27</v>
      </c>
      <c r="G11" s="2" t="s">
        <v>28</v>
      </c>
      <c r="H11" s="2" t="s">
        <v>46</v>
      </c>
      <c r="I11" s="7" t="s">
        <v>23</v>
      </c>
    </row>
    <row r="12" spans="1:9" x14ac:dyDescent="0.25">
      <c r="F12" s="2" t="s">
        <v>45</v>
      </c>
      <c r="G12" s="2" t="s">
        <v>42</v>
      </c>
      <c r="H12" s="2" t="s">
        <v>26</v>
      </c>
      <c r="I12" s="2" t="s">
        <v>47</v>
      </c>
    </row>
    <row r="13" spans="1:9" x14ac:dyDescent="0.25">
      <c r="A13" s="1">
        <v>2</v>
      </c>
      <c r="B13">
        <v>1</v>
      </c>
      <c r="C13">
        <v>2</v>
      </c>
      <c r="D13" t="s">
        <v>35</v>
      </c>
      <c r="E13" t="s">
        <v>36</v>
      </c>
      <c r="F13" t="s">
        <v>25</v>
      </c>
      <c r="G13" t="s">
        <v>43</v>
      </c>
      <c r="H13" t="s">
        <v>44</v>
      </c>
      <c r="I13" t="s">
        <v>44</v>
      </c>
    </row>
    <row r="14" spans="1:9" x14ac:dyDescent="0.25">
      <c r="A14">
        <v>3</v>
      </c>
      <c r="B14">
        <v>0</v>
      </c>
      <c r="C14">
        <v>1</v>
      </c>
      <c r="D14" t="s">
        <v>15</v>
      </c>
      <c r="E14" t="s">
        <v>16</v>
      </c>
      <c r="F14" t="s">
        <v>44</v>
      </c>
      <c r="G14" t="s">
        <v>48</v>
      </c>
      <c r="H14" t="s">
        <v>49</v>
      </c>
      <c r="I14" t="s">
        <v>49</v>
      </c>
    </row>
    <row r="17" spans="1:4" x14ac:dyDescent="0.25">
      <c r="B17" s="3">
        <v>0</v>
      </c>
      <c r="C17" s="3">
        <v>1</v>
      </c>
      <c r="D17" s="3">
        <v>2</v>
      </c>
    </row>
    <row r="18" spans="1:4" x14ac:dyDescent="0.25">
      <c r="A18" s="3" t="s">
        <v>17</v>
      </c>
      <c r="B18" t="s">
        <v>49</v>
      </c>
      <c r="C18" t="s">
        <v>44</v>
      </c>
      <c r="D18" t="s">
        <v>25</v>
      </c>
    </row>
  </sheetData>
  <mergeCells count="1">
    <mergeCell ref="B1:D1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83"/>
  <sheetViews>
    <sheetView tabSelected="1" topLeftCell="A58" workbookViewId="0">
      <selection activeCell="U71" sqref="U71"/>
    </sheetView>
  </sheetViews>
  <sheetFormatPr baseColWidth="10" defaultRowHeight="15" x14ac:dyDescent="0.25"/>
  <cols>
    <col min="1" max="2" width="11.85546875" bestFit="1" customWidth="1"/>
    <col min="3" max="3" width="11.7109375" customWidth="1"/>
    <col min="4" max="4" width="13" customWidth="1"/>
    <col min="13" max="13" width="14.140625" customWidth="1"/>
    <col min="15" max="15" width="17" customWidth="1"/>
    <col min="16" max="18" width="14.140625" customWidth="1"/>
    <col min="19" max="19" width="15.140625" customWidth="1"/>
    <col min="20" max="20" width="4" customWidth="1"/>
    <col min="21" max="21" width="17.5703125" customWidth="1"/>
    <col min="22" max="22" width="12.85546875" customWidth="1"/>
    <col min="23" max="23" width="13.140625" bestFit="1" customWidth="1"/>
  </cols>
  <sheetData>
    <row r="1" spans="1:24" ht="15.75" thickBot="1" x14ac:dyDescent="0.3">
      <c r="A1" t="s">
        <v>68</v>
      </c>
      <c r="B1">
        <v>0.5</v>
      </c>
      <c r="D1" s="22" t="s">
        <v>56</v>
      </c>
      <c r="E1" s="23"/>
      <c r="F1" s="23"/>
      <c r="G1" s="24"/>
      <c r="H1" s="29"/>
      <c r="I1" s="29"/>
      <c r="J1" s="29"/>
      <c r="K1" s="29"/>
      <c r="L1" s="29"/>
      <c r="N1" s="22" t="s">
        <v>59</v>
      </c>
      <c r="O1" s="23"/>
      <c r="P1" s="24"/>
      <c r="Q1" s="29"/>
      <c r="R1" s="29"/>
      <c r="S1" s="8"/>
      <c r="T1" s="8"/>
      <c r="U1" s="22" t="s">
        <v>60</v>
      </c>
      <c r="V1" s="24"/>
      <c r="W1" s="8"/>
      <c r="X1" s="8"/>
    </row>
    <row r="2" spans="1:24" x14ac:dyDescent="0.25">
      <c r="D2" s="9"/>
      <c r="E2" s="10" t="s">
        <v>50</v>
      </c>
      <c r="F2" s="10" t="s">
        <v>51</v>
      </c>
      <c r="G2" s="11" t="s">
        <v>52</v>
      </c>
      <c r="H2" s="10"/>
      <c r="I2" s="10"/>
      <c r="J2" s="10"/>
      <c r="K2" s="10"/>
      <c r="L2" s="10"/>
      <c r="N2" s="9"/>
      <c r="O2" s="10" t="s">
        <v>50</v>
      </c>
      <c r="P2" s="11" t="s">
        <v>51</v>
      </c>
      <c r="Q2" s="10"/>
      <c r="R2" s="10"/>
      <c r="U2" s="9"/>
      <c r="V2" s="11" t="s">
        <v>50</v>
      </c>
    </row>
    <row r="3" spans="1:24" x14ac:dyDescent="0.25">
      <c r="D3" s="9" t="s">
        <v>53</v>
      </c>
      <c r="E3" s="10">
        <v>0.5</v>
      </c>
      <c r="F3" s="10">
        <v>0.3</v>
      </c>
      <c r="G3" s="11">
        <v>-0.4</v>
      </c>
      <c r="H3" s="10"/>
      <c r="I3" s="10"/>
      <c r="J3" s="10"/>
      <c r="K3" s="10"/>
      <c r="L3" s="10"/>
      <c r="N3" s="9" t="s">
        <v>53</v>
      </c>
      <c r="O3" s="17">
        <v>-0.34</v>
      </c>
      <c r="P3" s="18">
        <v>0.70485864557222544</v>
      </c>
      <c r="Q3" s="17"/>
      <c r="R3" s="17"/>
      <c r="U3" s="9" t="s">
        <v>53</v>
      </c>
      <c r="V3" s="11">
        <v>0.33</v>
      </c>
    </row>
    <row r="4" spans="1:24" x14ac:dyDescent="0.25">
      <c r="D4" s="9" t="s">
        <v>54</v>
      </c>
      <c r="E4" s="10">
        <v>0.6</v>
      </c>
      <c r="F4" s="10">
        <v>-0.5</v>
      </c>
      <c r="G4" s="11">
        <v>-0.6</v>
      </c>
      <c r="H4" s="10"/>
      <c r="I4" s="10"/>
      <c r="J4" s="10"/>
      <c r="K4" s="10"/>
      <c r="L4" s="10"/>
      <c r="N4" s="9" t="s">
        <v>54</v>
      </c>
      <c r="O4" s="17">
        <v>0.55567565777703354</v>
      </c>
      <c r="P4" s="18">
        <v>0.30855349634108287</v>
      </c>
      <c r="Q4" s="17"/>
      <c r="R4" s="17"/>
      <c r="U4" s="9" t="s">
        <v>54</v>
      </c>
      <c r="V4" s="11">
        <v>0.55000000000000004</v>
      </c>
    </row>
    <row r="5" spans="1:24" ht="15.75" thickBot="1" x14ac:dyDescent="0.3">
      <c r="D5" s="9"/>
      <c r="E5" s="10"/>
      <c r="F5" s="10"/>
      <c r="G5" s="11"/>
      <c r="H5" s="10"/>
      <c r="I5" s="10"/>
      <c r="J5" s="10"/>
      <c r="K5" s="10"/>
      <c r="L5" s="10"/>
      <c r="N5" s="9" t="s">
        <v>55</v>
      </c>
      <c r="O5" s="17">
        <v>5.4082514873918353E-2</v>
      </c>
      <c r="P5" s="18">
        <v>-0.74</v>
      </c>
      <c r="Q5" s="17"/>
      <c r="R5" s="17"/>
      <c r="U5" s="9"/>
      <c r="V5" s="11"/>
    </row>
    <row r="6" spans="1:24" ht="15.75" thickBot="1" x14ac:dyDescent="0.3">
      <c r="D6" s="22" t="s">
        <v>57</v>
      </c>
      <c r="E6" s="23"/>
      <c r="F6" s="23"/>
      <c r="G6" s="24"/>
      <c r="H6" s="29"/>
      <c r="I6" s="29"/>
      <c r="J6" s="29"/>
      <c r="K6" s="29"/>
      <c r="L6" s="29"/>
      <c r="N6" s="22" t="s">
        <v>58</v>
      </c>
      <c r="O6" s="23"/>
      <c r="P6" s="24"/>
      <c r="Q6" s="29"/>
      <c r="R6" s="29"/>
      <c r="S6" s="8"/>
      <c r="T6" s="8"/>
      <c r="U6" s="22" t="s">
        <v>61</v>
      </c>
      <c r="V6" s="24"/>
      <c r="W6" s="8"/>
      <c r="X6" s="8"/>
    </row>
    <row r="7" spans="1:24" x14ac:dyDescent="0.25">
      <c r="D7" s="9"/>
      <c r="E7" s="10" t="s">
        <v>50</v>
      </c>
      <c r="F7" s="10" t="s">
        <v>51</v>
      </c>
      <c r="G7" s="11" t="s">
        <v>52</v>
      </c>
      <c r="H7" s="10"/>
      <c r="I7" s="10"/>
      <c r="J7" s="10"/>
      <c r="K7" s="10"/>
      <c r="L7" s="10"/>
      <c r="N7" s="9"/>
      <c r="O7" s="10" t="s">
        <v>50</v>
      </c>
      <c r="P7" s="11" t="s">
        <v>51</v>
      </c>
      <c r="Q7" s="10"/>
      <c r="R7" s="10"/>
      <c r="U7" s="9"/>
      <c r="V7" s="11" t="s">
        <v>50</v>
      </c>
      <c r="W7" s="26"/>
    </row>
    <row r="8" spans="1:24" ht="15.75" thickBot="1" x14ac:dyDescent="0.3">
      <c r="C8" s="25"/>
      <c r="D8" s="12" t="s">
        <v>53</v>
      </c>
      <c r="E8" s="13">
        <v>0.3</v>
      </c>
      <c r="F8" s="13">
        <v>0.4</v>
      </c>
      <c r="G8" s="14">
        <v>-0.8</v>
      </c>
      <c r="H8" s="10"/>
      <c r="I8" s="10"/>
      <c r="J8" s="10"/>
      <c r="K8" s="10"/>
      <c r="L8" s="10"/>
      <c r="N8" s="12" t="s">
        <v>53</v>
      </c>
      <c r="O8" s="13">
        <v>0.48</v>
      </c>
      <c r="P8" s="14">
        <v>-0.96</v>
      </c>
      <c r="Q8" s="10"/>
      <c r="R8" s="10"/>
      <c r="U8" s="12" t="s">
        <v>53</v>
      </c>
      <c r="V8" s="14">
        <v>-0.45</v>
      </c>
      <c r="W8" s="26"/>
    </row>
    <row r="10" spans="1:24" x14ac:dyDescent="0.25">
      <c r="A10" s="20" t="s">
        <v>62</v>
      </c>
      <c r="B10" s="20"/>
      <c r="D10" s="20" t="s">
        <v>63</v>
      </c>
      <c r="E10" s="20"/>
      <c r="F10" s="20"/>
      <c r="N10" s="20" t="s">
        <v>64</v>
      </c>
      <c r="O10" s="20"/>
      <c r="U10" t="s">
        <v>65</v>
      </c>
    </row>
    <row r="11" spans="1:24" x14ac:dyDescent="0.25">
      <c r="A11" t="s">
        <v>0</v>
      </c>
      <c r="B11" t="s">
        <v>1</v>
      </c>
      <c r="C11" t="s">
        <v>2</v>
      </c>
      <c r="D11" t="s">
        <v>50</v>
      </c>
      <c r="E11" t="s">
        <v>51</v>
      </c>
      <c r="F11" t="s">
        <v>52</v>
      </c>
      <c r="N11" t="s">
        <v>50</v>
      </c>
      <c r="O11" t="s">
        <v>51</v>
      </c>
      <c r="U11" t="s">
        <v>66</v>
      </c>
    </row>
    <row r="12" spans="1:24" x14ac:dyDescent="0.25">
      <c r="A12">
        <v>1</v>
      </c>
      <c r="B12">
        <v>1</v>
      </c>
      <c r="C12">
        <v>0</v>
      </c>
      <c r="D12">
        <f>(A12*$E$3+B12*$E$4)+$E$8</f>
        <v>1.4000000000000001</v>
      </c>
      <c r="E12">
        <f>(A12*$F$3+B12*$F$4)+$F$8</f>
        <v>0.2</v>
      </c>
      <c r="F12">
        <f>(A12*$G$3+B12*$G$4)+$G$8</f>
        <v>-1.8</v>
      </c>
      <c r="N12" s="19">
        <f>(D12*$O$3+E12*$O$4+F12*$O$5)+$O$8</f>
        <v>1.7786604782353554E-2</v>
      </c>
      <c r="O12" s="19">
        <f>(D12*$P$3+E12*$P$4+F12*$P$5)+$P$8</f>
        <v>1.4205128030693324</v>
      </c>
      <c r="U12">
        <f>N12*$V$3+O12*$V$4+$V$8</f>
        <v>0.33715162126630954</v>
      </c>
    </row>
    <row r="13" spans="1:24" x14ac:dyDescent="0.25">
      <c r="A13">
        <v>1</v>
      </c>
      <c r="B13">
        <v>2</v>
      </c>
      <c r="C13">
        <v>0</v>
      </c>
      <c r="D13">
        <f>(A13*$E$3+B13*$E$4)+$E$8</f>
        <v>2</v>
      </c>
      <c r="E13">
        <f>(A13*$F$3+B13*$F$4)+$F$8</f>
        <v>-0.29999999999999993</v>
      </c>
      <c r="F13">
        <f>(A13*$G$3+B13*$G$4)+$G$8</f>
        <v>-2.4000000000000004</v>
      </c>
      <c r="N13" s="19">
        <f>(D13*$O$3+E13*$O$4+F13*$O$5)+$O$8</f>
        <v>-0.49650073303051423</v>
      </c>
      <c r="O13" s="19">
        <f>(D13*$P$3+E13*$P$4+F13*$P$5)+$P$8</f>
        <v>2.1331512422421266</v>
      </c>
      <c r="U13">
        <f>N13*$V$3+O13*$V$4+$V$8</f>
        <v>0.55938794133309999</v>
      </c>
    </row>
    <row r="14" spans="1:24" x14ac:dyDescent="0.25">
      <c r="A14">
        <v>1</v>
      </c>
      <c r="B14">
        <v>3</v>
      </c>
      <c r="C14">
        <v>0</v>
      </c>
      <c r="D14">
        <f>(A14*$E$3+B14*$E$4)+$E$8</f>
        <v>2.5999999999999996</v>
      </c>
      <c r="E14">
        <f>(A14*$F$3+B14*$F$4)+$F$8</f>
        <v>-0.79999999999999993</v>
      </c>
      <c r="F14">
        <f>(A14*$G$3+B14*$G$4)+$G$8</f>
        <v>-3</v>
      </c>
      <c r="N14" s="19">
        <f>(D14*$O$3+E14*$O$4+F14*$O$5)+$O$8</f>
        <v>-1.0107880708433818</v>
      </c>
      <c r="O14" s="19">
        <f>(D14*$P$3+E14*$P$4+F14*$P$5)+$P$8</f>
        <v>2.8457896814149195</v>
      </c>
      <c r="U14">
        <f>N14*$V$3+O14*$V$4+$V$8</f>
        <v>0.78162426139988983</v>
      </c>
    </row>
    <row r="15" spans="1:24" x14ac:dyDescent="0.25">
      <c r="A15">
        <v>1</v>
      </c>
      <c r="B15">
        <v>4</v>
      </c>
      <c r="C15">
        <v>0</v>
      </c>
      <c r="D15">
        <f>(A15*$E$3+B15*$E$4)+$E$8</f>
        <v>3.1999999999999997</v>
      </c>
      <c r="E15">
        <f>(A15*$F$3+B15*$F$4)+$F$8</f>
        <v>-1.2999999999999998</v>
      </c>
      <c r="F15">
        <f>(A15*$G$3+B15*$G$4)+$G$8</f>
        <v>-3.5999999999999996</v>
      </c>
      <c r="N15" s="19">
        <f>(D15*$O$3+E15*$O$4+F15*$O$5)+$O$8</f>
        <v>-1.5250754086562495</v>
      </c>
      <c r="O15" s="19">
        <f>(D15*$P$3+E15*$P$4+F15*$P$5)+$P$8</f>
        <v>3.5584281205877133</v>
      </c>
      <c r="U15">
        <f>N15*$V$3+O15*$V$4+$V$8</f>
        <v>1.0038605814666803</v>
      </c>
    </row>
    <row r="16" spans="1:24" x14ac:dyDescent="0.25">
      <c r="A16">
        <v>2</v>
      </c>
      <c r="B16">
        <v>1</v>
      </c>
      <c r="C16">
        <v>0</v>
      </c>
      <c r="D16">
        <f>(A16*$E$3+B16*$E$4)+$E$8</f>
        <v>1.9000000000000001</v>
      </c>
      <c r="E16">
        <f>(A16*$F$3+B16*$F$4)+$F$8</f>
        <v>0.5</v>
      </c>
      <c r="F16">
        <f>(A16*$G$3+B16*$G$4)+$G$8</f>
        <v>-2.2000000000000002</v>
      </c>
      <c r="N16" s="19">
        <f>(D16*$O$3+E16*$O$4+F16*$O$5)+$O$8</f>
        <v>-7.1437038341037873E-3</v>
      </c>
      <c r="O16" s="19">
        <f>(D16*$P$3+E16*$P$4+F16*$P$5)+$P$8</f>
        <v>2.16150817475777</v>
      </c>
      <c r="U16">
        <f>N16*$V$3+O16*$V$4+$V$8</f>
        <v>0.73647207385151936</v>
      </c>
    </row>
    <row r="17" spans="1:21" x14ac:dyDescent="0.25">
      <c r="A17">
        <v>2</v>
      </c>
      <c r="B17">
        <v>2</v>
      </c>
      <c r="C17">
        <v>0</v>
      </c>
      <c r="D17">
        <f>(A17*$E$3+B17*$E$4)+$E$8</f>
        <v>2.5</v>
      </c>
      <c r="E17">
        <f>(A17*$F$3+B17*$F$4)+$F$8</f>
        <v>0</v>
      </c>
      <c r="F17">
        <f>(A17*$G$3+B17*$G$4)+$G$8</f>
        <v>-2.8</v>
      </c>
      <c r="N17" s="19">
        <f>(D17*$O$3+E17*$O$4+F17*$O$5)+$O$8</f>
        <v>-0.5214310416469714</v>
      </c>
      <c r="O17" s="19">
        <f>(D17*$P$3+E17*$P$4+F17*$P$5)+$P$8</f>
        <v>2.8741466139305638</v>
      </c>
      <c r="U17">
        <f>N17*$V$3+O17*$V$4+$V$8</f>
        <v>0.95870839391830986</v>
      </c>
    </row>
    <row r="18" spans="1:21" x14ac:dyDescent="0.25">
      <c r="A18">
        <v>2</v>
      </c>
      <c r="B18">
        <v>3</v>
      </c>
      <c r="C18">
        <v>0</v>
      </c>
      <c r="D18">
        <f>(A18*$E$3+B18*$E$4)+$E$8</f>
        <v>3.0999999999999996</v>
      </c>
      <c r="E18">
        <f>(A18*$F$3+B18*$F$4)+$F$8</f>
        <v>-0.5</v>
      </c>
      <c r="F18">
        <f>(A18*$G$3+B18*$G$4)+$G$8</f>
        <v>-3.3999999999999995</v>
      </c>
      <c r="N18" s="19">
        <f>(D18*$O$3+E18*$O$4+F18*$O$5)+$O$8</f>
        <v>-1.0357183794598392</v>
      </c>
      <c r="O18" s="19">
        <f>(D18*$P$3+E18*$P$4+F18*$P$5)+$P$8</f>
        <v>3.5867850531033563</v>
      </c>
      <c r="U18">
        <f>N18*$V$3+O18*$V$4+$V$8</f>
        <v>1.1809447139850993</v>
      </c>
    </row>
    <row r="19" spans="1:21" x14ac:dyDescent="0.25">
      <c r="A19">
        <v>2</v>
      </c>
      <c r="B19">
        <v>4</v>
      </c>
      <c r="C19">
        <v>0</v>
      </c>
      <c r="D19">
        <f>(A19*$E$3+B19*$E$4)+$E$8</f>
        <v>3.6999999999999997</v>
      </c>
      <c r="E19">
        <f>(A19*$F$3+B19*$F$4)+$F$8</f>
        <v>-0.99999999999999989</v>
      </c>
      <c r="F19">
        <f>(A19*$G$3+B19*$G$4)+$G$8</f>
        <v>-4</v>
      </c>
      <c r="N19" s="19">
        <f>(D19*$O$3+E19*$O$4+F19*$O$5)+$O$8</f>
        <v>-1.5500057172727071</v>
      </c>
      <c r="O19" s="19">
        <f>(D19*$P$3+E19*$P$4+F19*$P$5)+$P$8</f>
        <v>4.2994234922761514</v>
      </c>
      <c r="U19">
        <f>N19*$V$3+O19*$V$4+$V$8</f>
        <v>1.40318103405189</v>
      </c>
    </row>
    <row r="20" spans="1:21" x14ac:dyDescent="0.25">
      <c r="A20">
        <v>4</v>
      </c>
      <c r="B20">
        <v>1</v>
      </c>
      <c r="C20">
        <v>1</v>
      </c>
      <c r="D20">
        <f>(A20*$E$3+B20*$E$4)+$E$8</f>
        <v>2.9</v>
      </c>
      <c r="E20">
        <f>(A20*$F$3+B20*$F$4)+$F$8</f>
        <v>1.1000000000000001</v>
      </c>
      <c r="F20">
        <f>(A20*$G$3+B20*$G$4)+$G$8</f>
        <v>-3</v>
      </c>
      <c r="N20" s="19">
        <f>(D20*$O$3+E20*$O$4+F20*$O$5)+$O$8</f>
        <v>-5.7004321067018138E-2</v>
      </c>
      <c r="O20" s="19">
        <f>(D20*$P$3+E20*$P$4+F20*$P$5)+$P$8</f>
        <v>3.6434989181346449</v>
      </c>
      <c r="U20">
        <f>N20*$V$3+O20*$V$4+$V$8</f>
        <v>1.5351129790219389</v>
      </c>
    </row>
    <row r="21" spans="1:21" x14ac:dyDescent="0.25">
      <c r="A21">
        <v>4</v>
      </c>
      <c r="B21">
        <v>2</v>
      </c>
      <c r="C21">
        <v>1</v>
      </c>
      <c r="D21">
        <f>(A21*$E$3+B21*$E$4)+$E$8</f>
        <v>3.5</v>
      </c>
      <c r="E21">
        <f>(A21*$F$3+B21*$F$4)+$F$8</f>
        <v>0.6</v>
      </c>
      <c r="F21">
        <f>(A21*$G$3+B21*$G$4)+$G$8</f>
        <v>-3.5999999999999996</v>
      </c>
      <c r="N21" s="19">
        <f>(D21*$O$3+E21*$O$4+F21*$O$5)+$O$8</f>
        <v>-0.5712916588798862</v>
      </c>
      <c r="O21" s="19">
        <f>(D21*$P$3+E21*$P$4+F21*$P$5)+$P$8</f>
        <v>4.3561373573074382</v>
      </c>
      <c r="U21">
        <f>N21*$V$3+O21*$V$4+$V$8</f>
        <v>1.7573492990887287</v>
      </c>
    </row>
    <row r="22" spans="1:21" x14ac:dyDescent="0.25">
      <c r="A22">
        <v>4</v>
      </c>
      <c r="B22">
        <v>3</v>
      </c>
      <c r="C22">
        <v>1</v>
      </c>
      <c r="D22">
        <f>(A22*$E$3+B22*$E$4)+$E$8</f>
        <v>4.0999999999999996</v>
      </c>
      <c r="E22">
        <f>(A22*$F$3+B22*$F$4)+$F$8</f>
        <v>9.9999999999999978E-2</v>
      </c>
      <c r="F22">
        <f>(A22*$G$3+B22*$G$4)+$G$8</f>
        <v>-4.2</v>
      </c>
      <c r="N22" s="19">
        <f>(D22*$O$3+E22*$O$4+F22*$O$5)+$O$8</f>
        <v>-1.0855789966927538</v>
      </c>
      <c r="O22" s="19">
        <f>(D22*$P$3+E22*$P$4+F22*$P$5)+$P$8</f>
        <v>5.0687757964802325</v>
      </c>
      <c r="U22">
        <f>N22*$V$3+O22*$V$4+$V$8</f>
        <v>1.9795856191555197</v>
      </c>
    </row>
    <row r="23" spans="1:21" x14ac:dyDescent="0.25">
      <c r="A23">
        <v>4</v>
      </c>
      <c r="B23">
        <v>4</v>
      </c>
      <c r="C23">
        <v>1</v>
      </c>
      <c r="D23">
        <f>(A23*$E$3+B23*$E$4)+$E$8</f>
        <v>4.7</v>
      </c>
      <c r="E23">
        <f>(A23*$F$3+B23*$F$4)+$F$8</f>
        <v>-0.4</v>
      </c>
      <c r="F23">
        <f>(A23*$G$3+B23*$G$4)+$G$8</f>
        <v>-4.8</v>
      </c>
      <c r="N23" s="19">
        <f>(D23*$O$3+E23*$O$4+F23*$O$5)+$O$8</f>
        <v>-1.5998663345056214</v>
      </c>
      <c r="O23" s="19">
        <f>(D23*$P$3+E23*$P$4+F23*$P$5)+$P$8</f>
        <v>5.7814142356530267</v>
      </c>
      <c r="U23">
        <f>N23*$V$3+O23*$V$4+$V$8</f>
        <v>2.2018219392223095</v>
      </c>
    </row>
    <row r="24" spans="1:21" x14ac:dyDescent="0.25">
      <c r="A24">
        <v>5</v>
      </c>
      <c r="B24">
        <v>1</v>
      </c>
      <c r="C24">
        <v>1</v>
      </c>
      <c r="D24">
        <f>(A24*$E$3+B24*$E$4)+$E$8</f>
        <v>3.4</v>
      </c>
      <c r="E24">
        <f>(A24*$F$3+B24*$F$4)+$F$8</f>
        <v>1.4</v>
      </c>
      <c r="F24">
        <f>(A24*$G$3+B24*$G$4)+$G$8</f>
        <v>-3.4000000000000004</v>
      </c>
      <c r="N24" s="19">
        <f>(D24*$O$3+E24*$O$4+F24*$O$5)+$O$8</f>
        <v>-8.1934629683475757E-2</v>
      </c>
      <c r="O24" s="19">
        <f>(D24*$P$3+E24*$P$4+F24*$P$5)+$P$8</f>
        <v>4.3844942898230821</v>
      </c>
      <c r="U24">
        <f>N24*$V$3+O24*$V$4+$V$8</f>
        <v>1.9344334316071483</v>
      </c>
    </row>
    <row r="25" spans="1:21" x14ac:dyDescent="0.25">
      <c r="A25">
        <v>5</v>
      </c>
      <c r="B25">
        <v>2</v>
      </c>
      <c r="C25">
        <v>1</v>
      </c>
      <c r="D25">
        <f>(A25*$E$3+B25*$E$4)+$E$8</f>
        <v>4</v>
      </c>
      <c r="E25">
        <f>(A25*$F$3+B25*$F$4)+$F$8</f>
        <v>0.9</v>
      </c>
      <c r="F25">
        <f>(A25*$G$3+B25*$G$4)+$G$8</f>
        <v>-4</v>
      </c>
      <c r="N25" s="19">
        <f>(D25*$O$3+E25*$O$4+F25*$O$5)+$O$8</f>
        <v>-0.59622196749634337</v>
      </c>
      <c r="O25" s="19">
        <f>(D25*$P$3+E25*$P$4+F25*$P$5)+$P$8</f>
        <v>5.0971327289958763</v>
      </c>
      <c r="U25">
        <f>N25*$V$3+O25*$V$4+$V$8</f>
        <v>2.1566697516739386</v>
      </c>
    </row>
    <row r="26" spans="1:21" x14ac:dyDescent="0.25">
      <c r="A26">
        <v>5</v>
      </c>
      <c r="B26">
        <v>3</v>
      </c>
      <c r="C26">
        <v>1</v>
      </c>
      <c r="D26">
        <f>(A26*$E$3+B26*$E$4)+$E$8</f>
        <v>4.5999999999999996</v>
      </c>
      <c r="E26">
        <f>(A26*$F$3+B26*$F$4)+$F$8</f>
        <v>0.4</v>
      </c>
      <c r="F26">
        <f>(A26*$G$3+B26*$G$4)+$G$8</f>
        <v>-4.5999999999999996</v>
      </c>
      <c r="N26" s="19">
        <f>(D26*$O$3+E26*$O$4+F26*$O$5)+$O$8</f>
        <v>-1.110509305309211</v>
      </c>
      <c r="O26" s="19">
        <f>(D26*$P$3+E26*$P$4+F26*$P$5)+$P$8</f>
        <v>5.8097711681686706</v>
      </c>
      <c r="U26">
        <f>N26*$V$3+O26*$V$4+$V$8</f>
        <v>2.3789060717407291</v>
      </c>
    </row>
    <row r="27" spans="1:21" x14ac:dyDescent="0.25">
      <c r="A27">
        <v>5</v>
      </c>
      <c r="B27">
        <v>4</v>
      </c>
      <c r="C27">
        <v>1</v>
      </c>
      <c r="D27">
        <f>(A27*$E$3+B27*$E$4)+$E$8</f>
        <v>5.2</v>
      </c>
      <c r="E27">
        <f>(A27*$F$3+B27*$F$4)+$F$8</f>
        <v>-9.9999999999999978E-2</v>
      </c>
      <c r="F27">
        <f>(A27*$G$3+B27*$G$4)+$G$8</f>
        <v>-5.2</v>
      </c>
      <c r="N27" s="19">
        <f>(D27*$O$3+E27*$O$4+F27*$O$5)+$O$8</f>
        <v>-1.6247966431220791</v>
      </c>
      <c r="O27" s="19">
        <f>(D27*$P$3+E27*$P$4+F27*$P$5)+$P$8</f>
        <v>6.5224096073414639</v>
      </c>
      <c r="U27">
        <f>N27*$V$3+O27*$V$4+$V$8</f>
        <v>2.6011423918075192</v>
      </c>
    </row>
    <row r="29" spans="1:21" x14ac:dyDescent="0.25">
      <c r="A29" s="20" t="s">
        <v>62</v>
      </c>
      <c r="B29" s="20"/>
      <c r="D29" s="20" t="s">
        <v>69</v>
      </c>
      <c r="E29" s="20"/>
      <c r="F29" s="20"/>
      <c r="N29" s="20" t="s">
        <v>70</v>
      </c>
      <c r="O29" s="20"/>
      <c r="U29" t="s">
        <v>71</v>
      </c>
    </row>
    <row r="30" spans="1:21" x14ac:dyDescent="0.25">
      <c r="A30" t="s">
        <v>0</v>
      </c>
      <c r="B30" t="s">
        <v>1</v>
      </c>
      <c r="D30" t="s">
        <v>50</v>
      </c>
      <c r="E30" t="s">
        <v>51</v>
      </c>
      <c r="F30" t="s">
        <v>52</v>
      </c>
      <c r="N30" t="s">
        <v>50</v>
      </c>
      <c r="O30" t="s">
        <v>51</v>
      </c>
      <c r="U30" t="s">
        <v>66</v>
      </c>
    </row>
    <row r="31" spans="1:21" x14ac:dyDescent="0.25">
      <c r="A31">
        <v>1</v>
      </c>
      <c r="B31">
        <v>1</v>
      </c>
      <c r="D31">
        <f>SIGM(D12)</f>
        <v>1.2465969639416064</v>
      </c>
      <c r="E31">
        <f>SIGM(E12)</f>
        <v>1.8187307530779817</v>
      </c>
      <c r="F31">
        <f>SIGM(F12)</f>
        <v>7.0496474644129457</v>
      </c>
      <c r="N31">
        <f>SIGM(N12)</f>
        <v>1.9823706431897437</v>
      </c>
      <c r="O31">
        <f>SIGM(O12)</f>
        <v>1.2415900969832427</v>
      </c>
      <c r="U31">
        <f>SIGM(U12)</f>
        <v>1.7138006043459979</v>
      </c>
    </row>
    <row r="32" spans="1:21" x14ac:dyDescent="0.25">
      <c r="A32">
        <v>1</v>
      </c>
      <c r="B32">
        <v>2</v>
      </c>
      <c r="D32">
        <f>SIGM(D13)</f>
        <v>1.1353352832366128</v>
      </c>
      <c r="E32">
        <f>SIGM(E13)</f>
        <v>2.3498588075760027</v>
      </c>
      <c r="F32">
        <f>SIGM(F13)</f>
        <v>12.023176380641605</v>
      </c>
      <c r="N32">
        <f>SIGM(N13)</f>
        <v>2.6429620372401406</v>
      </c>
      <c r="O32">
        <f>SIGM(O13)</f>
        <v>1.1184633981794101</v>
      </c>
      <c r="U32">
        <f>SIGM(U13)</f>
        <v>1.5715587843207608</v>
      </c>
    </row>
    <row r="33" spans="1:23" x14ac:dyDescent="0.25">
      <c r="A33">
        <v>1</v>
      </c>
      <c r="B33">
        <v>3</v>
      </c>
      <c r="D33">
        <f>SIGM(D14)</f>
        <v>1.074273578214334</v>
      </c>
      <c r="E33">
        <f>SIGM(E14)</f>
        <v>3.2255409284924674</v>
      </c>
      <c r="F33">
        <f>SIGM(F14)</f>
        <v>21.085536923187664</v>
      </c>
      <c r="N33">
        <f>SIGM(N14)</f>
        <v>3.747765595933938</v>
      </c>
      <c r="O33">
        <f>SIGM(O14)</f>
        <v>1.0580883773112062</v>
      </c>
      <c r="U33">
        <f>SIGM(U14)</f>
        <v>1.4576620444774462</v>
      </c>
    </row>
    <row r="34" spans="1:23" x14ac:dyDescent="0.25">
      <c r="A34">
        <v>1</v>
      </c>
      <c r="B34">
        <v>4</v>
      </c>
      <c r="D34">
        <f>SIGM(D15)</f>
        <v>1.0407622039783662</v>
      </c>
      <c r="E34">
        <f>SIGM(E15)</f>
        <v>4.6692966676192427</v>
      </c>
      <c r="F34">
        <f>SIGM(F15)</f>
        <v>37.598234443677967</v>
      </c>
      <c r="N34">
        <f>SIGM(N15)</f>
        <v>5.595490095973914</v>
      </c>
      <c r="O34">
        <f>SIGM(O15)</f>
        <v>1.0284835622690716</v>
      </c>
      <c r="U34">
        <f>SIGM(U15)</f>
        <v>1.3664619505484308</v>
      </c>
    </row>
    <row r="35" spans="1:23" x14ac:dyDescent="0.25">
      <c r="A35">
        <v>2</v>
      </c>
      <c r="B35">
        <v>1</v>
      </c>
      <c r="D35">
        <f>SIGM(D16)</f>
        <v>1.1495686192226351</v>
      </c>
      <c r="E35">
        <f>SIGM(E16)</f>
        <v>1.6065306597126334</v>
      </c>
      <c r="F35">
        <f>SIGM(F16)</f>
        <v>10.025013499434122</v>
      </c>
      <c r="N35">
        <f>SIGM(N16)</f>
        <v>2.00716928095519</v>
      </c>
      <c r="O35">
        <f>SIGM(O16)</f>
        <v>1.1151513216944111</v>
      </c>
      <c r="U35">
        <f>SIGM(U16)</f>
        <v>1.4788001108167406</v>
      </c>
    </row>
    <row r="36" spans="1:23" x14ac:dyDescent="0.25">
      <c r="A36">
        <v>2</v>
      </c>
      <c r="B36">
        <v>2</v>
      </c>
      <c r="D36">
        <f>SIGM(D17)</f>
        <v>1.0820849986238987</v>
      </c>
      <c r="E36">
        <f>SIGM(E17)</f>
        <v>2</v>
      </c>
      <c r="F36">
        <f>SIGM(F17)</f>
        <v>17.444646771097045</v>
      </c>
      <c r="N36">
        <f>SIGM(N17)</f>
        <v>2.6844364244343719</v>
      </c>
      <c r="O36">
        <f>SIGM(O17)</f>
        <v>1.0564643048001947</v>
      </c>
      <c r="U36">
        <f>SIGM(U17)</f>
        <v>1.3833877522726366</v>
      </c>
    </row>
    <row r="37" spans="1:23" x14ac:dyDescent="0.25">
      <c r="A37">
        <v>2</v>
      </c>
      <c r="B37">
        <v>3</v>
      </c>
      <c r="D37">
        <f>SIGM(D18)</f>
        <v>1.0450492023935578</v>
      </c>
      <c r="E37">
        <f>SIGM(E18)</f>
        <v>2.6487212707001282</v>
      </c>
      <c r="F37">
        <f>SIGM(F18)</f>
        <v>30.964100047396993</v>
      </c>
      <c r="N37">
        <f>SIGM(N18)</f>
        <v>3.817129276689573</v>
      </c>
      <c r="O37">
        <f>SIGM(O18)</f>
        <v>1.0276872003695292</v>
      </c>
      <c r="U37">
        <f>SIGM(U18)</f>
        <v>1.3069885851570391</v>
      </c>
    </row>
    <row r="38" spans="1:23" x14ac:dyDescent="0.25">
      <c r="A38">
        <v>2</v>
      </c>
      <c r="B38">
        <v>4</v>
      </c>
      <c r="D38">
        <f>SIGM(D19)</f>
        <v>1.0247235264703394</v>
      </c>
      <c r="E38">
        <f>SIGM(E19)</f>
        <v>3.7182818284590446</v>
      </c>
      <c r="F38">
        <f>SIGM(F19)</f>
        <v>55.598150033144229</v>
      </c>
      <c r="N38">
        <f>SIGM(N19)</f>
        <v>5.7114971194276283</v>
      </c>
      <c r="O38">
        <f>SIGM(O19)</f>
        <v>1.0135763836465372</v>
      </c>
      <c r="U38">
        <f>SIGM(U19)</f>
        <v>1.2458137769349051</v>
      </c>
    </row>
    <row r="39" spans="1:23" x14ac:dyDescent="0.25">
      <c r="A39">
        <v>4</v>
      </c>
      <c r="B39">
        <v>1</v>
      </c>
      <c r="D39">
        <f>SIGM(D20)</f>
        <v>1.0550232200564071</v>
      </c>
      <c r="E39">
        <f>SIGM(E20)</f>
        <v>1.3328710836980795</v>
      </c>
      <c r="F39">
        <f>SIGM(F20)</f>
        <v>21.085536923187664</v>
      </c>
      <c r="N39">
        <f>SIGM(N20)</f>
        <v>2.0586603849280891</v>
      </c>
      <c r="O39">
        <f>SIGM(O20)</f>
        <v>1.0261606496722693</v>
      </c>
      <c r="U39">
        <f>SIGM(U20)</f>
        <v>1.2154313505714969</v>
      </c>
    </row>
    <row r="40" spans="1:23" x14ac:dyDescent="0.25">
      <c r="A40">
        <v>4</v>
      </c>
      <c r="B40">
        <v>2</v>
      </c>
      <c r="D40">
        <f>SIGM(D21)</f>
        <v>1.0301973834223186</v>
      </c>
      <c r="E40">
        <f>SIGM(E21)</f>
        <v>1.5488116360940265</v>
      </c>
      <c r="F40">
        <f>SIGM(F21)</f>
        <v>37.598234443677967</v>
      </c>
      <c r="N40">
        <f>SIGM(N21)</f>
        <v>2.7705525249810767</v>
      </c>
      <c r="O40">
        <f>SIGM(O21)</f>
        <v>1.0128278414448961</v>
      </c>
      <c r="U40">
        <f>SIGM(U21)</f>
        <v>1.1725015082468875</v>
      </c>
    </row>
    <row r="41" spans="1:23" x14ac:dyDescent="0.25">
      <c r="A41">
        <v>4</v>
      </c>
      <c r="B41">
        <v>3</v>
      </c>
      <c r="D41">
        <f>SIGM(D22)</f>
        <v>1.0165726754017612</v>
      </c>
      <c r="E41">
        <f>SIGM(E22)</f>
        <v>1.9048374180359597</v>
      </c>
      <c r="F41">
        <f>SIGM(F22)</f>
        <v>67.68633104092514</v>
      </c>
      <c r="N41">
        <f>SIGM(N22)</f>
        <v>3.9611538207598129</v>
      </c>
      <c r="O41">
        <f>SIGM(O22)</f>
        <v>1.0062901158112225</v>
      </c>
      <c r="U41">
        <f>SIGM(U22)</f>
        <v>1.1381264624137208</v>
      </c>
    </row>
    <row r="42" spans="1:23" x14ac:dyDescent="0.25">
      <c r="A42">
        <v>4</v>
      </c>
      <c r="B42">
        <v>4</v>
      </c>
      <c r="D42">
        <f>SIGM(D23)</f>
        <v>1.0090952771016959</v>
      </c>
      <c r="E42">
        <f>SIGM(E23)</f>
        <v>2.4918246976412703</v>
      </c>
      <c r="F42">
        <f>SIGM(F23)</f>
        <v>122.51041751873483</v>
      </c>
      <c r="N42">
        <f>SIGM(N23)</f>
        <v>5.9523704191120519</v>
      </c>
      <c r="O42">
        <f>SIGM(O23)</f>
        <v>1.0030843503241407</v>
      </c>
      <c r="U42">
        <f>SIGM(U23)</f>
        <v>1.1106014655339878</v>
      </c>
    </row>
    <row r="43" spans="1:23" x14ac:dyDescent="0.25">
      <c r="A43">
        <v>5</v>
      </c>
      <c r="B43">
        <v>1</v>
      </c>
      <c r="D43">
        <f>SIGM(D24)</f>
        <v>1.0333732699603262</v>
      </c>
      <c r="E43">
        <f>SIGM(E24)</f>
        <v>1.2465969639416066</v>
      </c>
      <c r="F43">
        <f>SIGM(F24)</f>
        <v>30.964100047397018</v>
      </c>
      <c r="N43">
        <f>SIGM(N24)</f>
        <v>2.0853848555588641</v>
      </c>
      <c r="O43">
        <f>SIGM(O24)</f>
        <v>1.0124691923376115</v>
      </c>
      <c r="U43">
        <f>SIGM(U24)</f>
        <v>1.1445061182338732</v>
      </c>
    </row>
    <row r="44" spans="1:23" x14ac:dyDescent="0.25">
      <c r="A44">
        <v>5</v>
      </c>
      <c r="B44">
        <v>2</v>
      </c>
      <c r="D44">
        <f>SIGM(D25)</f>
        <v>1.0183156388887342</v>
      </c>
      <c r="E44">
        <f>SIGM(E25)</f>
        <v>1.4065696597405992</v>
      </c>
      <c r="F44">
        <f>SIGM(F25)</f>
        <v>55.598150033144229</v>
      </c>
      <c r="N44">
        <f>SIGM(N25)</f>
        <v>2.8152477640093272</v>
      </c>
      <c r="O44">
        <f>SIGM(O25)</f>
        <v>1.0061142526755498</v>
      </c>
      <c r="U44">
        <f>SIGM(U25)</f>
        <v>1.1157098225495887</v>
      </c>
    </row>
    <row r="45" spans="1:23" x14ac:dyDescent="0.25">
      <c r="A45">
        <v>5</v>
      </c>
      <c r="B45">
        <v>3</v>
      </c>
      <c r="D45">
        <f>SIGM(D26)</f>
        <v>1.0100518357446335</v>
      </c>
      <c r="E45">
        <f>SIGM(E26)</f>
        <v>1.6703200460356393</v>
      </c>
      <c r="F45">
        <f>SIGM(F26)</f>
        <v>100.48431564193375</v>
      </c>
      <c r="N45">
        <f>SIGM(N26)</f>
        <v>4.0359042028868224</v>
      </c>
      <c r="O45">
        <f>SIGM(O26)</f>
        <v>1.0029981160582233</v>
      </c>
      <c r="U45">
        <f>SIGM(U26)</f>
        <v>1.0926518765993598</v>
      </c>
    </row>
    <row r="46" spans="1:23" x14ac:dyDescent="0.25">
      <c r="A46">
        <v>5</v>
      </c>
      <c r="B46">
        <v>4</v>
      </c>
      <c r="D46">
        <f>SIGM(D27)</f>
        <v>1.0055165644207609</v>
      </c>
      <c r="E46">
        <f>SIGM(E27)</f>
        <v>2.1051709180756477</v>
      </c>
      <c r="F46">
        <f>SIGM(F27)</f>
        <v>182.27224187515117</v>
      </c>
      <c r="N46">
        <f>SIGM(N27)</f>
        <v>6.077386410739309</v>
      </c>
      <c r="O46">
        <f>SIGM(O27)</f>
        <v>1.0014701224132463</v>
      </c>
      <c r="U46">
        <f>SIGM(U27)</f>
        <v>1.0741887771343188</v>
      </c>
    </row>
    <row r="47" spans="1:23" ht="15.75" thickBot="1" x14ac:dyDescent="0.3"/>
    <row r="48" spans="1:23" ht="15.75" thickBot="1" x14ac:dyDescent="0.3">
      <c r="D48" s="22" t="s">
        <v>78</v>
      </c>
      <c r="E48" s="23"/>
      <c r="F48" s="23"/>
      <c r="G48" s="22" t="s">
        <v>26</v>
      </c>
      <c r="H48" s="23"/>
      <c r="I48" s="24"/>
      <c r="J48" s="32" t="s">
        <v>79</v>
      </c>
      <c r="K48" s="33"/>
      <c r="L48" s="34"/>
      <c r="N48" s="22" t="s">
        <v>75</v>
      </c>
      <c r="O48" s="24"/>
      <c r="P48" s="27" t="s">
        <v>26</v>
      </c>
      <c r="Q48" s="28"/>
      <c r="R48" s="30" t="s">
        <v>77</v>
      </c>
      <c r="S48" s="31"/>
      <c r="U48" s="22" t="s">
        <v>74</v>
      </c>
      <c r="V48" s="23"/>
      <c r="W48" s="24"/>
    </row>
    <row r="49" spans="4:23" x14ac:dyDescent="0.25">
      <c r="D49" t="s">
        <v>50</v>
      </c>
      <c r="E49" t="s">
        <v>51</v>
      </c>
      <c r="F49" t="s">
        <v>52</v>
      </c>
      <c r="G49" t="s">
        <v>50</v>
      </c>
      <c r="H49" t="s">
        <v>51</v>
      </c>
      <c r="I49" t="s">
        <v>52</v>
      </c>
      <c r="J49" s="39" t="s">
        <v>50</v>
      </c>
      <c r="K49" s="40" t="s">
        <v>51</v>
      </c>
      <c r="L49" s="41" t="s">
        <v>52</v>
      </c>
      <c r="N49" t="s">
        <v>50</v>
      </c>
      <c r="O49" t="s">
        <v>51</v>
      </c>
      <c r="P49" t="s">
        <v>76</v>
      </c>
      <c r="Q49" t="s">
        <v>51</v>
      </c>
      <c r="R49" s="26" t="s">
        <v>76</v>
      </c>
      <c r="S49" s="26" t="s">
        <v>51</v>
      </c>
      <c r="U49" t="s">
        <v>72</v>
      </c>
      <c r="V49" t="s">
        <v>73</v>
      </c>
      <c r="W49" s="26" t="s">
        <v>67</v>
      </c>
    </row>
    <row r="50" spans="4:23" x14ac:dyDescent="0.25">
      <c r="D50">
        <f>R50*$O$3+S50*$P$3</f>
        <v>-8.9443639908231634E-2</v>
      </c>
      <c r="E50">
        <f>R50*$O$4+S50*$P$4</f>
        <v>-3.7598549786396387E-2</v>
      </c>
      <c r="F50">
        <f>R50*$O$5+S50*$P$5</f>
        <v>9.3234177655023384E-2</v>
      </c>
      <c r="G50">
        <f>dev_sigm(D12)</f>
        <v>-0.56000000000000028</v>
      </c>
      <c r="H50">
        <f t="shared" ref="H50:I50" si="0">dev_sigm(E12)</f>
        <v>0.16000000000000003</v>
      </c>
      <c r="I50">
        <f t="shared" si="0"/>
        <v>-5.04</v>
      </c>
      <c r="J50" s="42">
        <f>D50*G50</f>
        <v>5.0088438348609737E-2</v>
      </c>
      <c r="K50" s="43">
        <f>E50*H50</f>
        <v>-6.015767965823423E-3</v>
      </c>
      <c r="L50" s="44">
        <f>F50</f>
        <v>9.3234177655023384E-2</v>
      </c>
      <c r="N50">
        <f>W50*$V$3</f>
        <v>0.12639028184655438</v>
      </c>
      <c r="O50">
        <f>W50*$V$4</f>
        <v>0.21065046974425727</v>
      </c>
      <c r="P50">
        <f>dev_sigm(N12)</f>
        <v>1.7470241472669911E-2</v>
      </c>
      <c r="Q50">
        <f>dev_sigm(O12)</f>
        <v>-0.59734382061455948</v>
      </c>
      <c r="R50" s="26">
        <f>N50*P50</f>
        <v>2.2080687436581131E-3</v>
      </c>
      <c r="S50" s="26">
        <f>O50*Q50</f>
        <v>-0.1258307564112863</v>
      </c>
      <c r="U50">
        <f>U31-C12</f>
        <v>1.7138006043459979</v>
      </c>
      <c r="V50">
        <f>dev_sigm(U12)</f>
        <v>0.22348040554380852</v>
      </c>
      <c r="W50" s="26">
        <f>U50*V50</f>
        <v>0.38300085408046775</v>
      </c>
    </row>
    <row r="51" spans="4:23" x14ac:dyDescent="0.25">
      <c r="D51">
        <f t="shared" ref="D51:D65" si="1">R51*$O$3+S51*$P$3</f>
        <v>-0.33068141342942453</v>
      </c>
      <c r="E51">
        <f t="shared" ref="E51:E65" si="2">R51*$O$4+S51*$P$4</f>
        <v>-0.2116677675118773</v>
      </c>
      <c r="F51">
        <f t="shared" ref="F51:F65" si="3">R51*$O$5+S51*$P$5</f>
        <v>0.37593286819063193</v>
      </c>
      <c r="G51">
        <f t="shared" ref="G51:G65" si="4">dev_sigm(D13)</f>
        <v>-2</v>
      </c>
      <c r="H51">
        <f t="shared" ref="H51:H65" si="5">dev_sigm(E13)</f>
        <v>-0.38999999999999985</v>
      </c>
      <c r="I51">
        <f t="shared" ref="I51:I65" si="6">dev_sigm(F13)</f>
        <v>-8.1600000000000019</v>
      </c>
      <c r="J51" s="42">
        <f t="shared" ref="J51:J65" si="7">D51*G51</f>
        <v>0.66136282685884906</v>
      </c>
      <c r="K51" s="43">
        <f t="shared" ref="K51:K65" si="8">E51*H51</f>
        <v>8.2550429329632108E-2</v>
      </c>
      <c r="L51" s="44">
        <f t="shared" ref="L51:L65" si="9">F51</f>
        <v>0.37593286819063193</v>
      </c>
      <c r="N51">
        <f>W51*$V$3</f>
        <v>0.12782448428204538</v>
      </c>
      <c r="O51">
        <f>W51*$V$4</f>
        <v>0.21304080713674231</v>
      </c>
      <c r="P51">
        <f t="shared" ref="P51:Q51" si="10">dev_sigm(N13)</f>
        <v>-0.74301371093035218</v>
      </c>
      <c r="Q51">
        <f t="shared" si="10"/>
        <v>-2.4171829800370013</v>
      </c>
      <c r="R51" s="26">
        <f t="shared" ref="R51:R65" si="11">N51*P51</f>
        <v>-9.4975344414161014E-2</v>
      </c>
      <c r="S51" s="26">
        <f t="shared" ref="S51:S65" si="12">O51*Q51</f>
        <v>-0.51495861306427881</v>
      </c>
      <c r="U51">
        <f>U32-C13</f>
        <v>1.5715587843207608</v>
      </c>
      <c r="V51">
        <f>dev_sigm(U13)</f>
        <v>0.24647307242421626</v>
      </c>
      <c r="W51" s="26">
        <f t="shared" ref="W51:W65" si="13">U51*V51</f>
        <v>0.38734692206680416</v>
      </c>
    </row>
    <row r="52" spans="4:23" x14ac:dyDescent="0.25">
      <c r="D52">
        <f t="shared" si="1"/>
        <v>-0.44991252122337372</v>
      </c>
      <c r="E52">
        <f t="shared" si="2"/>
        <v>-0.31451784540907074</v>
      </c>
      <c r="F52">
        <f t="shared" si="3"/>
        <v>0.5228854585318623</v>
      </c>
      <c r="G52">
        <f t="shared" si="4"/>
        <v>-4.1599999999999984</v>
      </c>
      <c r="H52">
        <f t="shared" si="5"/>
        <v>-1.4399999999999997</v>
      </c>
      <c r="I52">
        <f t="shared" si="6"/>
        <v>-12</v>
      </c>
      <c r="J52" s="42">
        <f t="shared" si="7"/>
        <v>1.871636088289234</v>
      </c>
      <c r="K52" s="43">
        <f t="shared" si="8"/>
        <v>0.45290569738906178</v>
      </c>
      <c r="L52" s="44">
        <f t="shared" si="9"/>
        <v>0.5228854585318623</v>
      </c>
      <c r="N52">
        <f>W52*$V$3</f>
        <v>8.210568024242211E-2</v>
      </c>
      <c r="O52">
        <f>W52*$V$4</f>
        <v>0.13684280040403687</v>
      </c>
      <c r="P52">
        <f t="shared" ref="P52:Q52" si="14">dev_sigm(N14)</f>
        <v>-2.0324805950026672</v>
      </c>
      <c r="Q52">
        <f t="shared" si="14"/>
        <v>-5.2527292294327097</v>
      </c>
      <c r="R52" s="26">
        <f t="shared" si="11"/>
        <v>-0.16687820183221683</v>
      </c>
      <c r="S52" s="26">
        <f t="shared" si="12"/>
        <v>-0.71879817751971076</v>
      </c>
      <c r="U52">
        <f>U33-C14</f>
        <v>1.4576620444774462</v>
      </c>
      <c r="V52">
        <f>dev_sigm(U14)</f>
        <v>0.17068777539096652</v>
      </c>
      <c r="W52" s="26">
        <f t="shared" si="13"/>
        <v>0.24880509164370337</v>
      </c>
    </row>
    <row r="53" spans="4:23" x14ac:dyDescent="0.25">
      <c r="D53">
        <f t="shared" si="1"/>
        <v>1.6402314087782442E-2</v>
      </c>
      <c r="E53">
        <f t="shared" si="2"/>
        <v>1.1921384096694092E-2</v>
      </c>
      <c r="F53">
        <f t="shared" si="3"/>
        <v>-1.9258315634949962E-2</v>
      </c>
      <c r="G53">
        <f t="shared" si="4"/>
        <v>-7.0399999999999983</v>
      </c>
      <c r="H53">
        <f t="shared" si="5"/>
        <v>-2.9899999999999993</v>
      </c>
      <c r="I53">
        <f t="shared" si="6"/>
        <v>-16.559999999999999</v>
      </c>
      <c r="J53" s="42">
        <f t="shared" si="7"/>
        <v>-0.11547229117798836</v>
      </c>
      <c r="K53" s="43">
        <f t="shared" si="8"/>
        <v>-3.5644938449115329E-2</v>
      </c>
      <c r="L53" s="44">
        <f t="shared" si="9"/>
        <v>-1.9258315634949962E-2</v>
      </c>
      <c r="N53">
        <f>W53*$V$3</f>
        <v>-1.7475821721909201E-3</v>
      </c>
      <c r="O53">
        <f>W53*$V$4</f>
        <v>-2.9126369536515333E-3</v>
      </c>
      <c r="P53">
        <f t="shared" ref="P53:Q53" si="15">dev_sigm(N15)</f>
        <v>-3.8509304107442759</v>
      </c>
      <c r="Q53">
        <f t="shared" si="15"/>
        <v>-9.1039825688016922</v>
      </c>
      <c r="R53" s="26">
        <f t="shared" si="11"/>
        <v>6.7298173321645536E-3</v>
      </c>
      <c r="S53" s="26">
        <f t="shared" si="12"/>
        <v>2.6516596055291223E-2</v>
      </c>
      <c r="U53">
        <f>U34-C15</f>
        <v>1.3664619505484308</v>
      </c>
      <c r="V53">
        <f>dev_sigm(U15)</f>
        <v>-3.8754855559412107E-3</v>
      </c>
      <c r="W53" s="26">
        <f t="shared" si="13"/>
        <v>-5.2957035520936968E-3</v>
      </c>
    </row>
    <row r="54" spans="4:23" x14ac:dyDescent="0.25">
      <c r="D54">
        <f t="shared" si="1"/>
        <v>-0.27911033807540475</v>
      </c>
      <c r="E54">
        <f t="shared" si="2"/>
        <v>-0.12266126886555564</v>
      </c>
      <c r="F54">
        <f t="shared" si="3"/>
        <v>0.2932320157844191</v>
      </c>
      <c r="G54">
        <f t="shared" si="4"/>
        <v>-1.7100000000000004</v>
      </c>
      <c r="H54">
        <f t="shared" si="5"/>
        <v>0.25</v>
      </c>
      <c r="I54">
        <f t="shared" si="6"/>
        <v>-7.0400000000000009</v>
      </c>
      <c r="J54" s="42">
        <f t="shared" si="7"/>
        <v>0.47727867810894226</v>
      </c>
      <c r="K54" s="43">
        <f t="shared" si="8"/>
        <v>-3.0665317216388911E-2</v>
      </c>
      <c r="L54" s="44">
        <f t="shared" si="9"/>
        <v>0.2932320157844191</v>
      </c>
      <c r="N54">
        <f>W54*$V$3</f>
        <v>9.4712291066001944E-2</v>
      </c>
      <c r="O54">
        <f>W54*$V$4</f>
        <v>0.15785381844333657</v>
      </c>
      <c r="P54">
        <f t="shared" ref="P54:Q54" si="16">dev_sigm(N16)</f>
        <v>-7.1947363385731766E-3</v>
      </c>
      <c r="Q54">
        <f t="shared" si="16"/>
        <v>-2.5106094147868965</v>
      </c>
      <c r="R54" s="26">
        <f t="shared" si="11"/>
        <v>-6.8142996224208386E-4</v>
      </c>
      <c r="S54" s="26">
        <f t="shared" si="12"/>
        <v>-0.3963092827439022</v>
      </c>
      <c r="U54">
        <f>U35-C16</f>
        <v>1.4788001108167406</v>
      </c>
      <c r="V54">
        <f>dev_sigm(U16)</f>
        <v>0.19408095828836158</v>
      </c>
      <c r="W54" s="26">
        <f t="shared" si="13"/>
        <v>0.28700694262424831</v>
      </c>
    </row>
    <row r="55" spans="4:23" x14ac:dyDescent="0.25">
      <c r="D55">
        <f t="shared" si="1"/>
        <v>-0.10948421203651341</v>
      </c>
      <c r="E55">
        <f t="shared" si="2"/>
        <v>-5.8027477827095324E-2</v>
      </c>
      <c r="F55">
        <f t="shared" si="3"/>
        <v>0.11928484068455561</v>
      </c>
      <c r="G55">
        <f t="shared" si="4"/>
        <v>-3.75</v>
      </c>
      <c r="H55">
        <f t="shared" si="5"/>
        <v>0</v>
      </c>
      <c r="I55">
        <f t="shared" si="6"/>
        <v>-10.639999999999999</v>
      </c>
      <c r="J55" s="42">
        <f t="shared" si="7"/>
        <v>0.41056579513692532</v>
      </c>
      <c r="K55" s="43">
        <f t="shared" si="8"/>
        <v>0</v>
      </c>
      <c r="L55" s="44">
        <f t="shared" si="9"/>
        <v>0.11928484068455561</v>
      </c>
      <c r="N55">
        <f>W55*$V$3</f>
        <v>1.8071998073992006E-2</v>
      </c>
      <c r="O55">
        <f>W55*$V$4</f>
        <v>3.0119996789986676E-2</v>
      </c>
      <c r="P55">
        <f t="shared" ref="P55:Q55" si="17">dev_sigm(N17)</f>
        <v>-0.79332137284001703</v>
      </c>
      <c r="Q55">
        <f t="shared" si="17"/>
        <v>-5.3865721444379613</v>
      </c>
      <c r="R55" s="26">
        <f t="shared" si="11"/>
        <v>-1.4336902322021481E-2</v>
      </c>
      <c r="S55" s="26">
        <f t="shared" si="12"/>
        <v>-0.16224353569950303</v>
      </c>
      <c r="U55">
        <f>U36-C17</f>
        <v>1.3833877522726366</v>
      </c>
      <c r="V55">
        <f>dev_sigm(U17)</f>
        <v>3.9586609348884666E-2</v>
      </c>
      <c r="W55" s="26">
        <f t="shared" si="13"/>
        <v>5.4763630527248496E-2</v>
      </c>
    </row>
    <row r="56" spans="4:23" x14ac:dyDescent="0.25">
      <c r="D56">
        <f t="shared" si="1"/>
        <v>0.93849488333641107</v>
      </c>
      <c r="E56">
        <f t="shared" si="2"/>
        <v>0.54772993210983789</v>
      </c>
      <c r="F56">
        <f t="shared" si="3"/>
        <v>-1.0441382020334744</v>
      </c>
      <c r="G56">
        <f t="shared" si="4"/>
        <v>-6.509999999999998</v>
      </c>
      <c r="H56">
        <f t="shared" si="5"/>
        <v>-0.75</v>
      </c>
      <c r="I56">
        <f t="shared" si="6"/>
        <v>-14.959999999999996</v>
      </c>
      <c r="J56" s="42">
        <f t="shared" si="7"/>
        <v>-6.1096016905200345</v>
      </c>
      <c r="K56" s="43">
        <f t="shared" si="8"/>
        <v>-0.41079744908237842</v>
      </c>
      <c r="L56" s="44">
        <f t="shared" si="9"/>
        <v>-1.0441382020334744</v>
      </c>
      <c r="N56">
        <f>W56*$V$3</f>
        <v>-9.216397584613048E-2</v>
      </c>
      <c r="O56">
        <f>W56*$V$4</f>
        <v>-0.15360662641021747</v>
      </c>
      <c r="P56">
        <f t="shared" ref="P56:Q56" si="18">dev_sigm(N18)</f>
        <v>-2.1084309410107549</v>
      </c>
      <c r="Q56">
        <f t="shared" si="18"/>
        <v>-9.2782419640622908</v>
      </c>
      <c r="R56" s="26">
        <f t="shared" si="11"/>
        <v>0.19432137832054938</v>
      </c>
      <c r="S56" s="26">
        <f t="shared" si="12"/>
        <v>1.4251994471173186</v>
      </c>
      <c r="U56">
        <f>U37-C18</f>
        <v>1.3069885851570391</v>
      </c>
      <c r="V56">
        <f>dev_sigm(U18)</f>
        <v>-0.21368570350424865</v>
      </c>
      <c r="W56" s="26">
        <f t="shared" si="13"/>
        <v>-0.27928477529130447</v>
      </c>
    </row>
    <row r="57" spans="4:23" x14ac:dyDescent="0.25">
      <c r="D57">
        <f t="shared" si="1"/>
        <v>3.5634052042811279</v>
      </c>
      <c r="E57">
        <f t="shared" si="2"/>
        <v>2.2075433197127432</v>
      </c>
      <c r="F57">
        <f t="shared" si="3"/>
        <v>-4.0194876978079952</v>
      </c>
      <c r="G57">
        <f t="shared" si="4"/>
        <v>-9.9899999999999984</v>
      </c>
      <c r="H57">
        <f t="shared" si="5"/>
        <v>-1.9999999999999998</v>
      </c>
      <c r="I57">
        <f t="shared" si="6"/>
        <v>-20</v>
      </c>
      <c r="J57" s="42">
        <f t="shared" si="7"/>
        <v>-35.598417990768461</v>
      </c>
      <c r="K57" s="43">
        <f t="shared" si="8"/>
        <v>-4.4150866394254855</v>
      </c>
      <c r="L57" s="44">
        <f t="shared" si="9"/>
        <v>-4.0194876978079952</v>
      </c>
      <c r="N57">
        <f>W57*$V$3</f>
        <v>-0.23258455384871418</v>
      </c>
      <c r="O57">
        <f>W57*$V$4</f>
        <v>-0.3876409230811903</v>
      </c>
      <c r="P57">
        <f t="shared" ref="P57:Q57" si="19">dev_sigm(N19)</f>
        <v>-3.9525234408507863</v>
      </c>
      <c r="Q57">
        <f t="shared" si="19"/>
        <v>-14.185618873659907</v>
      </c>
      <c r="R57" s="26">
        <f t="shared" si="11"/>
        <v>0.91929590106686476</v>
      </c>
      <c r="S57" s="26">
        <f t="shared" si="12"/>
        <v>5.4989263946634814</v>
      </c>
      <c r="U57">
        <f>U38-C19</f>
        <v>1.2458137769349051</v>
      </c>
      <c r="V57">
        <f>dev_sigm(U19)</f>
        <v>-0.56573598027104122</v>
      </c>
      <c r="W57" s="26">
        <f t="shared" si="13"/>
        <v>-0.70480167832943685</v>
      </c>
    </row>
    <row r="58" spans="4:23" x14ac:dyDescent="0.25">
      <c r="D58">
        <f t="shared" si="1"/>
        <v>0.65958413715516262</v>
      </c>
      <c r="E58">
        <f t="shared" si="2"/>
        <v>0.29121350298833137</v>
      </c>
      <c r="F58">
        <f t="shared" si="3"/>
        <v>-0.69353402098443018</v>
      </c>
      <c r="G58">
        <f t="shared" si="4"/>
        <v>-5.51</v>
      </c>
      <c r="H58">
        <f t="shared" si="5"/>
        <v>-0.11000000000000011</v>
      </c>
      <c r="I58">
        <f t="shared" si="6"/>
        <v>-12</v>
      </c>
      <c r="J58" s="42">
        <f t="shared" si="7"/>
        <v>-3.6343085957249457</v>
      </c>
      <c r="K58" s="43">
        <f t="shared" si="8"/>
        <v>-3.2033485328716485E-2</v>
      </c>
      <c r="L58" s="44">
        <f t="shared" si="9"/>
        <v>-0.69353402098443018</v>
      </c>
      <c r="N58">
        <f>W58*$V$3</f>
        <v>-5.8399438618981024E-2</v>
      </c>
      <c r="O58">
        <f>W58*$V$4</f>
        <v>-9.7332397698301709E-2</v>
      </c>
      <c r="P58">
        <f t="shared" ref="P58:Q58" si="20">dev_sigm(N20)</f>
        <v>-6.0253813687329828E-2</v>
      </c>
      <c r="Q58">
        <f t="shared" si="20"/>
        <v>-9.6315854483136825</v>
      </c>
      <c r="R58" s="26">
        <f t="shared" si="11"/>
        <v>3.5187888939927372E-3</v>
      </c>
      <c r="S58" s="26">
        <f t="shared" si="12"/>
        <v>0.93746530532044292</v>
      </c>
      <c r="U58">
        <f>U39-C20</f>
        <v>0.21543135057149687</v>
      </c>
      <c r="V58">
        <f>dev_sigm(U20)</f>
        <v>-0.82145887933967288</v>
      </c>
      <c r="W58" s="26">
        <f t="shared" si="13"/>
        <v>-0.17696799581509401</v>
      </c>
    </row>
    <row r="59" spans="4:23" x14ac:dyDescent="0.25">
      <c r="D59">
        <f t="shared" si="1"/>
        <v>1.2781039270959706</v>
      </c>
      <c r="E59">
        <f t="shared" si="2"/>
        <v>0.6074071011382226</v>
      </c>
      <c r="F59">
        <f t="shared" si="3"/>
        <v>-1.3624231661249286</v>
      </c>
      <c r="G59">
        <f t="shared" si="4"/>
        <v>-8.75</v>
      </c>
      <c r="H59">
        <f t="shared" si="5"/>
        <v>0.24</v>
      </c>
      <c r="I59">
        <f t="shared" si="6"/>
        <v>-16.559999999999999</v>
      </c>
      <c r="J59" s="42">
        <f t="shared" si="7"/>
        <v>-11.183409362089742</v>
      </c>
      <c r="K59" s="43">
        <f t="shared" si="8"/>
        <v>0.14577770427317341</v>
      </c>
      <c r="L59" s="44">
        <f t="shared" si="9"/>
        <v>-1.3624231661249286</v>
      </c>
      <c r="N59">
        <f>W59*$V$3</f>
        <v>-7.5763696701960467E-2</v>
      </c>
      <c r="O59">
        <f>W59*$V$4</f>
        <v>-0.12627282783660077</v>
      </c>
      <c r="P59">
        <f t="shared" ref="P59:Q59" si="21">dev_sigm(N21)</f>
        <v>-0.89766581838561843</v>
      </c>
      <c r="Q59">
        <f t="shared" si="21"/>
        <v>-14.619795318421993</v>
      </c>
      <c r="R59" s="26">
        <f t="shared" si="11"/>
        <v>6.8010480803885123E-2</v>
      </c>
      <c r="S59" s="26">
        <f t="shared" si="12"/>
        <v>1.8460828972494421</v>
      </c>
      <c r="U59">
        <f>U40-C21</f>
        <v>0.17250150824688748</v>
      </c>
      <c r="V59">
        <f>dev_sigm(U21)</f>
        <v>-1.3309272599189175</v>
      </c>
      <c r="W59" s="26">
        <f t="shared" si="13"/>
        <v>-0.22958695970291049</v>
      </c>
    </row>
    <row r="60" spans="4:23" x14ac:dyDescent="0.25">
      <c r="D60">
        <f t="shared" si="1"/>
        <v>2.0734932291763903</v>
      </c>
      <c r="E60">
        <f t="shared" si="2"/>
        <v>1.0486649252192883</v>
      </c>
      <c r="F60">
        <f t="shared" si="3"/>
        <v>-2.2374798313624096</v>
      </c>
      <c r="G60">
        <f t="shared" si="4"/>
        <v>-12.709999999999997</v>
      </c>
      <c r="H60">
        <f t="shared" si="5"/>
        <v>8.9999999999999983E-2</v>
      </c>
      <c r="I60">
        <f t="shared" si="6"/>
        <v>-21.840000000000003</v>
      </c>
      <c r="J60" s="42">
        <f t="shared" si="7"/>
        <v>-26.354098942831914</v>
      </c>
      <c r="K60" s="43">
        <f t="shared" si="8"/>
        <v>9.4379843269735933E-2</v>
      </c>
      <c r="L60" s="44">
        <f t="shared" si="9"/>
        <v>-2.2374798313624096</v>
      </c>
      <c r="N60">
        <f>W60*$V$3</f>
        <v>-8.8390892694544823E-2</v>
      </c>
      <c r="O60">
        <f>W60*$V$4</f>
        <v>-0.14731815449090804</v>
      </c>
      <c r="P60">
        <f t="shared" ref="P60:Q60" si="22">dev_sigm(N22)</f>
        <v>-2.2640607547532001</v>
      </c>
      <c r="Q60">
        <f t="shared" si="22"/>
        <v>-20.623712278503582</v>
      </c>
      <c r="R60" s="26">
        <f t="shared" si="11"/>
        <v>0.20012235122732028</v>
      </c>
      <c r="S60" s="26">
        <f t="shared" si="12"/>
        <v>3.0382472316206277</v>
      </c>
      <c r="U60">
        <f>U41-C22</f>
        <v>0.13812646241372084</v>
      </c>
      <c r="V60">
        <f>dev_sigm(U22)</f>
        <v>-1.9391736044118224</v>
      </c>
      <c r="W60" s="26">
        <f t="shared" si="13"/>
        <v>-0.26785118998346913</v>
      </c>
    </row>
    <row r="61" spans="4:23" x14ac:dyDescent="0.25">
      <c r="D61">
        <f t="shared" si="1"/>
        <v>2.9998626551743013</v>
      </c>
      <c r="E61">
        <f t="shared" si="2"/>
        <v>1.5962186069745401</v>
      </c>
      <c r="F61">
        <f t="shared" si="3"/>
        <v>-3.2710941597957084</v>
      </c>
      <c r="G61">
        <f t="shared" si="4"/>
        <v>-17.39</v>
      </c>
      <c r="H61">
        <f t="shared" si="5"/>
        <v>-0.55999999999999994</v>
      </c>
      <c r="I61">
        <f t="shared" si="6"/>
        <v>-27.84</v>
      </c>
      <c r="J61" s="42">
        <f t="shared" si="7"/>
        <v>-52.167611573481103</v>
      </c>
      <c r="K61" s="43">
        <f t="shared" si="8"/>
        <v>-0.89388241990574235</v>
      </c>
      <c r="L61" s="44">
        <f t="shared" si="9"/>
        <v>-3.2710941597957084</v>
      </c>
      <c r="N61">
        <f>W61*$V$3</f>
        <v>-9.6582211192728556E-2</v>
      </c>
      <c r="O61">
        <f>W61*$V$4</f>
        <v>-0.16097035198788093</v>
      </c>
      <c r="P61">
        <f t="shared" ref="P61:Q61" si="23">dev_sigm(N23)</f>
        <v>-4.1594386227900744</v>
      </c>
      <c r="Q61">
        <f t="shared" si="23"/>
        <v>-27.643336328558444</v>
      </c>
      <c r="R61" s="26">
        <f t="shared" si="11"/>
        <v>0.40172777950950295</v>
      </c>
      <c r="S61" s="26">
        <f t="shared" si="12"/>
        <v>4.4497575789274286</v>
      </c>
      <c r="U61">
        <f>U42-C23</f>
        <v>0.11060146553398775</v>
      </c>
      <c r="V61">
        <f>dev_sigm(U23)</f>
        <v>-2.6461979128183821</v>
      </c>
      <c r="W61" s="26">
        <f t="shared" si="13"/>
        <v>-0.2926733672506926</v>
      </c>
    </row>
    <row r="62" spans="4:23" x14ac:dyDescent="0.25">
      <c r="D62">
        <f t="shared" si="1"/>
        <v>1.500081594285823</v>
      </c>
      <c r="E62">
        <f t="shared" si="2"/>
        <v>0.66204760249315908</v>
      </c>
      <c r="F62">
        <f t="shared" si="3"/>
        <v>-1.5771838239604912</v>
      </c>
      <c r="G62">
        <f t="shared" si="4"/>
        <v>-8.16</v>
      </c>
      <c r="H62">
        <f t="shared" si="5"/>
        <v>-0.55999999999999983</v>
      </c>
      <c r="I62">
        <f t="shared" si="6"/>
        <v>-14.960000000000003</v>
      </c>
      <c r="J62" s="42">
        <f t="shared" si="7"/>
        <v>-12.240665809372317</v>
      </c>
      <c r="K62" s="43">
        <f t="shared" si="8"/>
        <v>-0.37074665739616897</v>
      </c>
      <c r="L62" s="44">
        <f t="shared" si="9"/>
        <v>-1.5771838239604912</v>
      </c>
      <c r="N62">
        <f>W62*$V$3</f>
        <v>-8.6199020750205829E-2</v>
      </c>
      <c r="O62">
        <f>W62*$V$4</f>
        <v>-0.14366503458367638</v>
      </c>
      <c r="P62">
        <f t="shared" ref="P62:Q62" si="24">dev_sigm(N24)</f>
        <v>-8.8647913224844069E-2</v>
      </c>
      <c r="Q62">
        <f t="shared" si="24"/>
        <v>-14.839295887668131</v>
      </c>
      <c r="R62" s="26">
        <f t="shared" si="11"/>
        <v>7.6413633115307794E-3</v>
      </c>
      <c r="S62" s="26">
        <f t="shared" si="12"/>
        <v>2.1318879568992486</v>
      </c>
      <c r="U62">
        <f>U43-C24</f>
        <v>0.14450611823387316</v>
      </c>
      <c r="V62">
        <f>dev_sigm(U24)</f>
        <v>-1.8075992697122594</v>
      </c>
      <c r="W62" s="26">
        <f t="shared" si="13"/>
        <v>-0.26120915378850251</v>
      </c>
    </row>
    <row r="63" spans="4:23" x14ac:dyDescent="0.25">
      <c r="D63">
        <f t="shared" si="1"/>
        <v>2.3060449976315902</v>
      </c>
      <c r="E63">
        <f t="shared" si="2"/>
        <v>1.0733420386459482</v>
      </c>
      <c r="F63">
        <f t="shared" si="3"/>
        <v>-2.4484706222797499</v>
      </c>
      <c r="G63">
        <f t="shared" si="4"/>
        <v>-12</v>
      </c>
      <c r="H63">
        <f t="shared" si="5"/>
        <v>8.9999999999999983E-2</v>
      </c>
      <c r="I63">
        <f t="shared" si="6"/>
        <v>-20</v>
      </c>
      <c r="J63" s="42">
        <f t="shared" si="7"/>
        <v>-27.672539971579084</v>
      </c>
      <c r="K63" s="43">
        <f t="shared" si="8"/>
        <v>9.6600783478135319E-2</v>
      </c>
      <c r="L63" s="44">
        <f t="shared" si="9"/>
        <v>-2.4484706222797499</v>
      </c>
      <c r="N63">
        <f>W63*$V$3</f>
        <v>-9.525267765947916E-2</v>
      </c>
      <c r="O63">
        <f>W63*$V$4</f>
        <v>-0.1587544627657986</v>
      </c>
      <c r="P63">
        <f t="shared" ref="P63:Q63" si="25">dev_sigm(N25)</f>
        <v>-0.9517026020215541</v>
      </c>
      <c r="Q63">
        <f t="shared" si="25"/>
        <v>-20.883629328005075</v>
      </c>
      <c r="R63" s="26">
        <f t="shared" si="11"/>
        <v>9.0652221178046666E-2</v>
      </c>
      <c r="S63" s="26">
        <f t="shared" si="12"/>
        <v>3.3153693545675211</v>
      </c>
      <c r="U63">
        <f>U44-C25</f>
        <v>0.11570982254958873</v>
      </c>
      <c r="V63">
        <f>dev_sigm(U25)</f>
        <v>-2.4945546661113895</v>
      </c>
      <c r="W63" s="26">
        <f t="shared" si="13"/>
        <v>-0.28864447775599744</v>
      </c>
    </row>
    <row r="64" spans="4:23" x14ac:dyDescent="0.25">
      <c r="D64">
        <f t="shared" si="1"/>
        <v>3.2124910007832357</v>
      </c>
      <c r="E64">
        <f t="shared" si="2"/>
        <v>1.5718819464861247</v>
      </c>
      <c r="F64">
        <f t="shared" si="3"/>
        <v>-3.4438466458980574</v>
      </c>
      <c r="G64">
        <f t="shared" si="4"/>
        <v>-16.559999999999999</v>
      </c>
      <c r="H64">
        <f t="shared" si="5"/>
        <v>0.24</v>
      </c>
      <c r="I64">
        <f t="shared" si="6"/>
        <v>-25.759999999999998</v>
      </c>
      <c r="J64" s="42">
        <f t="shared" si="7"/>
        <v>-53.198850972970376</v>
      </c>
      <c r="K64" s="43">
        <f t="shared" si="8"/>
        <v>0.37725166715666991</v>
      </c>
      <c r="L64" s="44">
        <f t="shared" si="9"/>
        <v>-3.4438466458980574</v>
      </c>
      <c r="N64">
        <f>W64*$V$3</f>
        <v>-0.10029519767342146</v>
      </c>
      <c r="O64">
        <f>W64*$V$4</f>
        <v>-0.16715866278903577</v>
      </c>
      <c r="P64">
        <f t="shared" ref="P64:Q64" si="26">dev_sigm(N26)</f>
        <v>-2.3437402224875576</v>
      </c>
      <c r="Q64">
        <f t="shared" si="26"/>
        <v>-27.943669858315289</v>
      </c>
      <c r="R64" s="26">
        <f t="shared" si="11"/>
        <v>0.23506588890953839</v>
      </c>
      <c r="S64" s="26">
        <f t="shared" si="12"/>
        <v>4.6710264869342684</v>
      </c>
      <c r="U64">
        <f>U45-C26</f>
        <v>9.2651876599359806E-2</v>
      </c>
      <c r="V64">
        <f>dev_sigm(U26)</f>
        <v>-3.280288026424178</v>
      </c>
      <c r="W64" s="26">
        <f t="shared" si="13"/>
        <v>-0.30392484143461046</v>
      </c>
    </row>
    <row r="65" spans="4:23" ht="15.75" thickBot="1" x14ac:dyDescent="0.3">
      <c r="D65">
        <f t="shared" si="1"/>
        <v>4.1666825776668546</v>
      </c>
      <c r="E65">
        <f t="shared" si="2"/>
        <v>2.130332713219568</v>
      </c>
      <c r="F65">
        <f t="shared" si="3"/>
        <v>-4.5061190392387713</v>
      </c>
      <c r="G65">
        <f t="shared" si="4"/>
        <v>-21.840000000000003</v>
      </c>
      <c r="H65">
        <f t="shared" si="5"/>
        <v>-0.10999999999999999</v>
      </c>
      <c r="I65">
        <f t="shared" si="6"/>
        <v>-32.24</v>
      </c>
      <c r="J65" s="45">
        <f t="shared" si="7"/>
        <v>-91.000347496244117</v>
      </c>
      <c r="K65" s="46">
        <f t="shared" si="8"/>
        <v>-0.23433659845415244</v>
      </c>
      <c r="L65" s="47">
        <f t="shared" si="9"/>
        <v>-4.5061190392387713</v>
      </c>
      <c r="N65">
        <f>W65*$V$3</f>
        <v>-0.10196385237540968</v>
      </c>
      <c r="O65">
        <f>W65*$V$4</f>
        <v>-0.16993975395901614</v>
      </c>
      <c r="P65">
        <f t="shared" ref="P65:Q65" si="27">dev_sigm(N27)</f>
        <v>-4.2647607746228555</v>
      </c>
      <c r="Q65">
        <f t="shared" si="27"/>
        <v>-36.019417478598768</v>
      </c>
      <c r="R65" s="26">
        <f t="shared" si="11"/>
        <v>0.43485143804008269</v>
      </c>
      <c r="S65" s="26">
        <f t="shared" si="12"/>
        <v>6.1211309440601607</v>
      </c>
      <c r="U65">
        <f>U46-C27</f>
        <v>7.4188777134318817E-2</v>
      </c>
      <c r="V65">
        <f>dev_sigm(U27)</f>
        <v>-4.1647993506506227</v>
      </c>
      <c r="W65" s="26">
        <f t="shared" si="13"/>
        <v>-0.30898137083457478</v>
      </c>
    </row>
    <row r="66" spans="4:23" ht="15.75" thickBot="1" x14ac:dyDescent="0.3"/>
    <row r="67" spans="4:23" ht="15.75" thickBot="1" x14ac:dyDescent="0.3">
      <c r="I67" s="49" t="s">
        <v>80</v>
      </c>
      <c r="J67" s="27">
        <f>AVERAGE(J50:J65)</f>
        <v>-19.737774554376095</v>
      </c>
      <c r="K67" s="38">
        <f t="shared" ref="K67:L67" si="28">AVERAGE(K50:K65)</f>
        <v>-0.32373394677047274</v>
      </c>
      <c r="L67" s="28">
        <f t="shared" si="28"/>
        <v>-1.4511541352671546</v>
      </c>
      <c r="Q67" t="s">
        <v>80</v>
      </c>
      <c r="R67" s="27">
        <f>AVERAGE(R50:R65)</f>
        <v>0.14295459992540593</v>
      </c>
      <c r="S67" s="38">
        <f t="shared" ref="S67" si="29">AVERAGE(S50:S65)</f>
        <v>1.9714668642485345</v>
      </c>
      <c r="U67" s="52" t="s">
        <v>82</v>
      </c>
      <c r="V67" s="53"/>
      <c r="W67" s="54"/>
    </row>
    <row r="68" spans="4:23" ht="15.75" thickBot="1" x14ac:dyDescent="0.3">
      <c r="I68" s="48" t="s">
        <v>81</v>
      </c>
      <c r="J68" s="30">
        <f>J67*lr</f>
        <v>-9.8688872771880476</v>
      </c>
      <c r="K68" s="50">
        <f>K67*lr</f>
        <v>-0.16186697338523637</v>
      </c>
      <c r="L68" s="31">
        <f>L67*lr</f>
        <v>-0.72557706763357732</v>
      </c>
      <c r="Q68" s="48" t="s">
        <v>81</v>
      </c>
      <c r="R68" s="30">
        <f>R67*lr</f>
        <v>7.1477299962702967E-2</v>
      </c>
      <c r="S68" s="50">
        <f>S67*lr</f>
        <v>0.98573343212426723</v>
      </c>
      <c r="U68" s="9"/>
      <c r="V68" s="10" t="s">
        <v>80</v>
      </c>
      <c r="W68" s="48">
        <f>AVERAGE(W50:W65)</f>
        <v>-0.10989362954976338</v>
      </c>
    </row>
    <row r="69" spans="4:23" ht="15.75" thickBot="1" x14ac:dyDescent="0.3">
      <c r="U69" s="12"/>
      <c r="V69" s="48" t="s">
        <v>81</v>
      </c>
      <c r="W69" s="51">
        <f>W68*lr</f>
        <v>-5.494681477488169E-2</v>
      </c>
    </row>
    <row r="70" spans="4:23" ht="15.75" thickBot="1" x14ac:dyDescent="0.3">
      <c r="U70" s="10"/>
      <c r="V70" s="10"/>
      <c r="W70" s="43"/>
    </row>
    <row r="71" spans="4:23" x14ac:dyDescent="0.25">
      <c r="U71" s="35" t="s">
        <v>83</v>
      </c>
      <c r="V71" s="36"/>
      <c r="W71" s="37"/>
    </row>
    <row r="72" spans="4:23" x14ac:dyDescent="0.25">
      <c r="U72" s="9" t="s">
        <v>84</v>
      </c>
      <c r="V72" s="10"/>
      <c r="W72" s="11"/>
    </row>
    <row r="73" spans="4:23" x14ac:dyDescent="0.25">
      <c r="U73" s="9">
        <f>-10.7071213834284*lr</f>
        <v>-5.3535606917141996</v>
      </c>
      <c r="V73" s="10"/>
      <c r="W73" s="11"/>
    </row>
    <row r="74" spans="4:23" ht="15.75" thickBot="1" x14ac:dyDescent="0.3">
      <c r="U74" s="12">
        <f>-1.60329001541648*lr</f>
        <v>-0.80164500770823999</v>
      </c>
      <c r="V74" s="13"/>
      <c r="W74" s="14"/>
    </row>
    <row r="75" spans="4:23" ht="15.75" thickBot="1" x14ac:dyDescent="0.3">
      <c r="D75" s="22" t="s">
        <v>56</v>
      </c>
      <c r="E75" s="23"/>
      <c r="F75" s="23"/>
      <c r="G75" s="24"/>
      <c r="H75" s="29"/>
      <c r="I75" s="29"/>
      <c r="J75" s="29"/>
      <c r="K75" s="29"/>
      <c r="L75" s="29"/>
      <c r="N75" s="22" t="s">
        <v>59</v>
      </c>
      <c r="O75" s="23"/>
      <c r="P75" s="24"/>
      <c r="Q75" s="29"/>
      <c r="R75" s="29"/>
      <c r="S75" s="8"/>
      <c r="T75" s="8"/>
    </row>
    <row r="76" spans="4:23" ht="15.75" thickBot="1" x14ac:dyDescent="0.3">
      <c r="D76" s="9"/>
      <c r="E76" s="10" t="s">
        <v>50</v>
      </c>
      <c r="F76" s="10" t="s">
        <v>51</v>
      </c>
      <c r="G76" s="11" t="s">
        <v>52</v>
      </c>
      <c r="H76" s="10"/>
      <c r="I76" s="10"/>
      <c r="J76" s="10"/>
      <c r="K76" s="10"/>
      <c r="L76" s="10"/>
      <c r="N76" s="9"/>
      <c r="O76" s="10" t="s">
        <v>50</v>
      </c>
      <c r="P76" s="11" t="s">
        <v>51</v>
      </c>
      <c r="Q76" s="10"/>
      <c r="R76" s="10"/>
      <c r="U76" s="22" t="s">
        <v>60</v>
      </c>
      <c r="V76" s="24"/>
    </row>
    <row r="77" spans="4:23" x14ac:dyDescent="0.25">
      <c r="D77" s="9" t="s">
        <v>53</v>
      </c>
      <c r="E77" s="10"/>
      <c r="F77" s="10"/>
      <c r="G77" s="11"/>
      <c r="H77" s="10"/>
      <c r="I77" s="10"/>
      <c r="J77" s="10"/>
      <c r="K77" s="10"/>
      <c r="L77" s="10"/>
      <c r="N77" s="9" t="s">
        <v>53</v>
      </c>
      <c r="O77" s="17"/>
      <c r="P77" s="18"/>
      <c r="Q77" s="17"/>
      <c r="R77" s="17"/>
      <c r="U77" s="9"/>
      <c r="V77" s="11" t="s">
        <v>50</v>
      </c>
    </row>
    <row r="78" spans="4:23" x14ac:dyDescent="0.25">
      <c r="D78" s="9" t="s">
        <v>54</v>
      </c>
      <c r="E78" s="10"/>
      <c r="F78" s="10"/>
      <c r="G78" s="11"/>
      <c r="H78" s="10"/>
      <c r="I78" s="10"/>
      <c r="J78" s="10"/>
      <c r="K78" s="10"/>
      <c r="L78" s="10"/>
      <c r="N78" s="9" t="s">
        <v>54</v>
      </c>
      <c r="O78" s="17"/>
      <c r="P78" s="18"/>
      <c r="Q78" s="17"/>
      <c r="R78" s="17"/>
      <c r="U78" s="9" t="s">
        <v>53</v>
      </c>
      <c r="V78" s="11">
        <f>V3-U73</f>
        <v>5.6835606917141996</v>
      </c>
    </row>
    <row r="79" spans="4:23" ht="15.75" thickBot="1" x14ac:dyDescent="0.3">
      <c r="D79" s="9"/>
      <c r="E79" s="10"/>
      <c r="F79" s="10"/>
      <c r="G79" s="11"/>
      <c r="H79" s="10"/>
      <c r="I79" s="10"/>
      <c r="J79" s="10"/>
      <c r="K79" s="10"/>
      <c r="L79" s="10"/>
      <c r="N79" s="9" t="s">
        <v>55</v>
      </c>
      <c r="O79" s="17"/>
      <c r="P79" s="18"/>
      <c r="Q79" s="17"/>
      <c r="R79" s="17"/>
      <c r="U79" s="9" t="s">
        <v>54</v>
      </c>
      <c r="V79" s="11">
        <f>V4-U74</f>
        <v>1.35164500770824</v>
      </c>
    </row>
    <row r="80" spans="4:23" ht="15.75" thickBot="1" x14ac:dyDescent="0.3">
      <c r="D80" s="22" t="s">
        <v>57</v>
      </c>
      <c r="E80" s="23"/>
      <c r="F80" s="23"/>
      <c r="G80" s="24"/>
      <c r="H80" s="29"/>
      <c r="I80" s="29"/>
      <c r="J80" s="29"/>
      <c r="K80" s="29"/>
      <c r="L80" s="29"/>
      <c r="N80" s="22" t="s">
        <v>58</v>
      </c>
      <c r="O80" s="23"/>
      <c r="P80" s="24"/>
      <c r="Q80" s="29"/>
      <c r="R80" s="29"/>
      <c r="S80" s="8"/>
      <c r="T80" s="8"/>
      <c r="U80" s="9"/>
      <c r="V80" s="11"/>
    </row>
    <row r="81" spans="4:22" ht="15.75" thickBot="1" x14ac:dyDescent="0.3">
      <c r="D81" s="9"/>
      <c r="E81" s="10" t="s">
        <v>50</v>
      </c>
      <c r="F81" s="10" t="s">
        <v>51</v>
      </c>
      <c r="G81" s="11" t="s">
        <v>52</v>
      </c>
      <c r="H81" s="10"/>
      <c r="I81" s="10"/>
      <c r="J81" s="10"/>
      <c r="K81" s="10"/>
      <c r="L81" s="10"/>
      <c r="N81" s="9"/>
      <c r="O81" s="10" t="s">
        <v>50</v>
      </c>
      <c r="P81" s="11" t="s">
        <v>51</v>
      </c>
      <c r="Q81" s="10"/>
      <c r="R81" s="10"/>
      <c r="U81" s="15" t="s">
        <v>61</v>
      </c>
      <c r="V81" s="16"/>
    </row>
    <row r="82" spans="4:22" ht="15.75" thickBot="1" x14ac:dyDescent="0.3">
      <c r="D82" s="12" t="s">
        <v>53</v>
      </c>
      <c r="E82" s="13">
        <f>E8-J68</f>
        <v>10.168887277188048</v>
      </c>
      <c r="F82" s="13">
        <f>F8-K68</f>
        <v>0.56186697338523639</v>
      </c>
      <c r="G82" s="14">
        <f>G8-L68</f>
        <v>-7.4422932366422723E-2</v>
      </c>
      <c r="H82" s="10"/>
      <c r="I82" s="10"/>
      <c r="J82" s="10"/>
      <c r="K82" s="10"/>
      <c r="L82" s="10"/>
      <c r="N82" s="12" t="s">
        <v>53</v>
      </c>
      <c r="O82" s="13">
        <f>O8-R68</f>
        <v>0.40852270003729702</v>
      </c>
      <c r="P82" s="13">
        <f>P8-S68</f>
        <v>-1.9457334321242672</v>
      </c>
      <c r="Q82" s="10"/>
      <c r="R82" s="10"/>
      <c r="U82" s="9"/>
      <c r="V82" s="11" t="s">
        <v>50</v>
      </c>
    </row>
    <row r="83" spans="4:22" ht="15.75" thickBot="1" x14ac:dyDescent="0.3">
      <c r="U83" s="12" t="s">
        <v>53</v>
      </c>
      <c r="V83" s="14">
        <f>V8-W69</f>
        <v>-0.39505318522511834</v>
      </c>
    </row>
  </sheetData>
  <mergeCells count="23">
    <mergeCell ref="U67:W67"/>
    <mergeCell ref="D75:G75"/>
    <mergeCell ref="N75:P75"/>
    <mergeCell ref="U76:V76"/>
    <mergeCell ref="D80:G80"/>
    <mergeCell ref="N80:P80"/>
    <mergeCell ref="N48:O48"/>
    <mergeCell ref="U48:W48"/>
    <mergeCell ref="D48:F48"/>
    <mergeCell ref="G48:I48"/>
    <mergeCell ref="J48:L48"/>
    <mergeCell ref="U1:V1"/>
    <mergeCell ref="U6:V6"/>
    <mergeCell ref="D29:F29"/>
    <mergeCell ref="N29:O29"/>
    <mergeCell ref="A29:B29"/>
    <mergeCell ref="A10:B10"/>
    <mergeCell ref="D10:F10"/>
    <mergeCell ref="N10:O10"/>
    <mergeCell ref="N1:P1"/>
    <mergeCell ref="N6:P6"/>
    <mergeCell ref="D1:G1"/>
    <mergeCell ref="D6:G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Hoja2</vt:lpstr>
      <vt:lpstr>Hoja3</vt:lpstr>
      <vt:lpstr>lr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Marcelloni Esteban Eduardo</dc:creator>
  <cp:lastModifiedBy>Marcelloni Esteban Eduardo</cp:lastModifiedBy>
  <dcterms:created xsi:type="dcterms:W3CDTF">2021-05-31T12:52:14Z</dcterms:created>
  <dcterms:modified xsi:type="dcterms:W3CDTF">2021-06-02T19:28:20Z</dcterms:modified>
</cp:coreProperties>
</file>